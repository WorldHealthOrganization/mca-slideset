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worldhealthorg-my.sharepoint.com/personal/lopezg_who_int/Documents/Documents/GitHub/mca-slideset/documentation/"/>
    </mc:Choice>
  </mc:AlternateContent>
  <xr:revisionPtr revIDLastSave="4939" documentId="8_{3AD194E0-D686-48D7-9F6A-FD83901BE12E}" xr6:coauthVersionLast="47" xr6:coauthVersionMax="47" xr10:uidLastSave="{4744708A-BBB0-4A26-9B21-275A0DB6D88E}"/>
  <bookViews>
    <workbookView xWindow="20544" yWindow="0" windowWidth="20832" windowHeight="16656" tabRatio="377" activeTab="2" xr2:uid="{0D879FB8-5A5A-4FD7-A149-36F500773F23}"/>
  </bookViews>
  <sheets>
    <sheet name="Slides+PNGs" sheetId="1" r:id="rId1"/>
    <sheet name="Data sources" sheetId="2" r:id="rId2"/>
    <sheet name="PNGs" sheetId="3" r:id="rId3"/>
  </sheets>
  <definedNames>
    <definedName name="_xlnm._FilterDatabase" localSheetId="1" hidden="1">'Data sources'!$A$1:$N$74</definedName>
    <definedName name="_xlnm._FilterDatabase" localSheetId="2" hidden="1">PNGs!$A$1:$M$196</definedName>
    <definedName name="_xlnm._FilterDatabase" localSheetId="0" hidden="1">'Slides+PNGs'!$A$1:$S$162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1" i="1" l="1"/>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2" i="3"/>
  <c r="J23" i="2" l="1"/>
  <c r="J11" i="2"/>
  <c r="J25" i="2"/>
  <c r="J48" i="2"/>
  <c r="J16" i="2"/>
  <c r="J26" i="2"/>
  <c r="J29" i="2"/>
  <c r="J30" i="2"/>
  <c r="J33" i="2"/>
  <c r="J52" i="2"/>
  <c r="J65" i="2"/>
  <c r="J56" i="2"/>
  <c r="J50" i="2"/>
  <c r="J49" i="2"/>
  <c r="J27" i="2"/>
  <c r="J61" i="2"/>
  <c r="J28" i="2"/>
  <c r="J24" i="2"/>
  <c r="J31" i="2"/>
  <c r="J35" i="2"/>
  <c r="J45" i="2"/>
  <c r="J46" i="2"/>
  <c r="J36" i="2"/>
  <c r="J37" i="2"/>
  <c r="J38" i="2"/>
  <c r="J39" i="2"/>
  <c r="J40" i="2"/>
  <c r="J41" i="2"/>
  <c r="J42" i="2"/>
  <c r="J43" i="2"/>
  <c r="J44" i="2"/>
  <c r="J34" i="2"/>
  <c r="J64" i="2"/>
  <c r="J51" i="2"/>
  <c r="J58" i="2"/>
  <c r="J53" i="2"/>
  <c r="J54" i="2"/>
  <c r="J55" i="2"/>
  <c r="J60" i="2"/>
  <c r="J57" i="2"/>
  <c r="J7" i="2"/>
  <c r="J59" i="2"/>
  <c r="J2" i="2"/>
  <c r="J3" i="2"/>
  <c r="J62" i="2"/>
  <c r="J63" i="2"/>
  <c r="J4" i="2"/>
  <c r="J5" i="2"/>
  <c r="J66" i="2"/>
  <c r="J67" i="2"/>
  <c r="J68" i="2"/>
  <c r="J69" i="2"/>
  <c r="J70" i="2"/>
  <c r="J71" i="2"/>
  <c r="J72" i="2"/>
  <c r="J73" i="2"/>
  <c r="J74" i="2"/>
  <c r="J14" i="2"/>
  <c r="J21" i="2"/>
  <c r="J8" i="2"/>
  <c r="J17" i="2"/>
  <c r="N147" i="1"/>
  <c r="N130" i="1"/>
  <c r="N122" i="1"/>
  <c r="N114" i="1"/>
  <c r="N107" i="1"/>
  <c r="N97" i="1"/>
  <c r="N70" i="1"/>
  <c r="N58" i="1"/>
  <c r="N55" i="1"/>
  <c r="N2" i="1"/>
  <c r="N3" i="1"/>
  <c r="N13" i="1"/>
  <c r="N21" i="1"/>
  <c r="N50" i="1"/>
  <c r="N74" i="1"/>
  <c r="N20" i="1"/>
  <c r="N19" i="1"/>
  <c r="N18" i="1"/>
  <c r="N5" i="1"/>
  <c r="N6" i="1"/>
  <c r="N7" i="1"/>
  <c r="N8" i="1"/>
  <c r="N9" i="1"/>
  <c r="N10" i="1"/>
  <c r="N11" i="1"/>
  <c r="N12" i="1"/>
  <c r="N14" i="1"/>
  <c r="N15" i="1"/>
  <c r="N16" i="1"/>
  <c r="N17" i="1"/>
  <c r="N23" i="1"/>
  <c r="N24" i="1"/>
  <c r="N25" i="1"/>
  <c r="N26" i="1"/>
  <c r="N27" i="1"/>
  <c r="N28" i="1"/>
  <c r="N29" i="1"/>
  <c r="N30" i="1"/>
  <c r="N31" i="1"/>
  <c r="N32" i="1"/>
  <c r="N33" i="1"/>
  <c r="N34" i="1"/>
  <c r="N35" i="1"/>
  <c r="N36" i="1"/>
  <c r="N37" i="1"/>
  <c r="N38" i="1"/>
  <c r="N39" i="1"/>
  <c r="N40" i="1"/>
  <c r="N41" i="1"/>
  <c r="N46" i="1"/>
  <c r="N47" i="1"/>
  <c r="N48" i="1"/>
  <c r="N49" i="1"/>
  <c r="N52" i="1"/>
  <c r="N53" i="1"/>
  <c r="N54" i="1"/>
  <c r="N56" i="1"/>
  <c r="N57" i="1"/>
  <c r="N59" i="1"/>
  <c r="N60" i="1"/>
  <c r="N61" i="1"/>
  <c r="N62" i="1"/>
  <c r="N63" i="1"/>
  <c r="N64" i="1"/>
  <c r="N65" i="1"/>
  <c r="N66" i="1"/>
  <c r="N67" i="1"/>
  <c r="N68" i="1"/>
  <c r="N69" i="1"/>
  <c r="N71" i="1"/>
  <c r="N72" i="1"/>
  <c r="N73" i="1"/>
  <c r="N75" i="1"/>
  <c r="N76" i="1"/>
  <c r="N77" i="1"/>
  <c r="N98" i="1"/>
  <c r="N99" i="1"/>
  <c r="N100" i="1"/>
  <c r="N101" i="1"/>
  <c r="N102" i="1"/>
  <c r="N103" i="1"/>
  <c r="N104" i="1"/>
  <c r="N105" i="1"/>
  <c r="N106" i="1"/>
  <c r="N108" i="1"/>
  <c r="N109" i="1"/>
  <c r="N110" i="1"/>
  <c r="N111" i="1"/>
  <c r="N112" i="1"/>
  <c r="N113" i="1"/>
  <c r="N115" i="1"/>
  <c r="N116" i="1"/>
  <c r="N117" i="1"/>
  <c r="N118" i="1"/>
  <c r="N119" i="1"/>
  <c r="N120" i="1"/>
  <c r="N121" i="1"/>
  <c r="N123" i="1"/>
  <c r="N124" i="1"/>
  <c r="N125" i="1"/>
  <c r="N126" i="1"/>
  <c r="N127" i="1"/>
  <c r="N128" i="1"/>
  <c r="N129" i="1"/>
  <c r="N131" i="1"/>
  <c r="N132" i="1"/>
  <c r="N133" i="1"/>
  <c r="N134" i="1"/>
  <c r="N135" i="1"/>
  <c r="N136" i="1"/>
  <c r="N137" i="1"/>
  <c r="N138" i="1"/>
  <c r="N139" i="1"/>
  <c r="N140" i="1"/>
  <c r="N141" i="1"/>
  <c r="N142" i="1"/>
  <c r="N143" i="1"/>
  <c r="N144" i="1"/>
  <c r="N145" i="1"/>
  <c r="N146" i="1"/>
  <c r="N148" i="1"/>
  <c r="N149" i="1"/>
  <c r="N150" i="1"/>
  <c r="N151" i="1"/>
  <c r="N152" i="1"/>
  <c r="N153" i="1"/>
  <c r="N154" i="1"/>
  <c r="N155" i="1"/>
  <c r="N156" i="1"/>
  <c r="N157" i="1"/>
  <c r="N158" i="1"/>
  <c r="N159" i="1"/>
  <c r="N160" i="1"/>
  <c r="N161" i="1"/>
  <c r="N162" i="1"/>
  <c r="C116" i="3"/>
  <c r="C117" i="3"/>
  <c r="C118" i="3"/>
  <c r="C119" i="3"/>
  <c r="C120" i="3"/>
  <c r="C121" i="3"/>
  <c r="C122" i="3"/>
  <c r="C123" i="3"/>
  <c r="C124" i="3"/>
  <c r="C125" i="3"/>
  <c r="C126" i="3"/>
  <c r="C127" i="3"/>
  <c r="C112" i="3"/>
  <c r="C113" i="3"/>
  <c r="C114" i="3"/>
  <c r="C115"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62" i="3"/>
  <c r="C34" i="3"/>
  <c r="C35" i="3"/>
  <c r="C36" i="3"/>
  <c r="C37" i="3"/>
  <c r="C38" i="3"/>
  <c r="C39" i="3"/>
  <c r="C40" i="3"/>
  <c r="C41" i="3"/>
  <c r="C33" i="3"/>
  <c r="C30" i="3"/>
  <c r="C4" i="3"/>
  <c r="C5" i="3"/>
  <c r="C6" i="3"/>
  <c r="C7" i="3"/>
  <c r="C8" i="3"/>
  <c r="C9" i="3"/>
  <c r="C10" i="3"/>
  <c r="C11" i="3"/>
  <c r="C12" i="3"/>
  <c r="C13" i="3"/>
  <c r="C14" i="3"/>
  <c r="C15" i="3"/>
  <c r="C16" i="3"/>
  <c r="C17" i="3"/>
  <c r="C18" i="3"/>
  <c r="C19" i="3"/>
  <c r="C20" i="3"/>
  <c r="C21" i="3"/>
  <c r="C22" i="3"/>
  <c r="C23" i="3"/>
  <c r="C24" i="3"/>
  <c r="C25" i="3"/>
  <c r="C3" i="3"/>
</calcChain>
</file>

<file path=xl/sharedStrings.xml><?xml version="1.0" encoding="utf-8"?>
<sst xmlns="http://schemas.openxmlformats.org/spreadsheetml/2006/main" count="3347" uniqueCount="874">
  <si>
    <t>Slide section</t>
  </si>
  <si>
    <t>1.9 babies were born stillbirth in 2021</t>
  </si>
  <si>
    <t>Stillbirth</t>
  </si>
  <si>
    <t>nmr_stillbirth.png</t>
  </si>
  <si>
    <t>2023unigme_rates_nmr_dim1.png</t>
  </si>
  <si>
    <t>2023unigme_rates_nmr_imr_dim1.png</t>
  </si>
  <si>
    <t>2023unigme_rates_nmr_imr_cmr_dim1.png</t>
  </si>
  <si>
    <t>2023unigme_deaths_nmr_imr_dim1.png</t>
  </si>
  <si>
    <t>2023unigme_deaths_nmr_imr_cmr_dim1.png</t>
  </si>
  <si>
    <t>Neonatal mortality</t>
  </si>
  <si>
    <t>Slide #
(unreliable)</t>
  </si>
  <si>
    <t>slideset.Rmd</t>
  </si>
  <si>
    <t>2023unigme_rates_nmr_dim2.png</t>
  </si>
  <si>
    <t>2023unigme_deaths_nmr_dim2.png</t>
  </si>
  <si>
    <t>2023unigme_rates_nmr_imr_dim2.png</t>
  </si>
  <si>
    <t>2023unigme_deaths_nmr_imr_dim2.png</t>
  </si>
  <si>
    <t>2023unigme_rates_nmr_imr_cmr_dim2.png</t>
  </si>
  <si>
    <t>2023unigme_deaths_nmr_imr_cmr_dim2.png</t>
  </si>
  <si>
    <t>2023unigme_rates_nmr_imr_cmr_u5mr_dim2.png</t>
  </si>
  <si>
    <t>2023unigme_deaths_nmr_imr_cmr_u5mr_dim2.png</t>
  </si>
  <si>
    <t>Comment</t>
  </si>
  <si>
    <t>deathsper1000_igme2023est_0to5.png</t>
  </si>
  <si>
    <t>percentagedeaths_igme2023est_0to5.png</t>
  </si>
  <si>
    <t>Global mortality rates &amp; number of deaths by age, 2022</t>
  </si>
  <si>
    <t>Leading causes of neonatal deaths globally, 2021</t>
  </si>
  <si>
    <t>Neonatal_CauseDeath_stackBar_cacode.png</t>
  </si>
  <si>
    <t>Neonatal mortality by region</t>
  </si>
  <si>
    <t>nmr_trendsTo2022.png</t>
  </si>
  <si>
    <t>Infant mortality by region</t>
  </si>
  <si>
    <t>imr_trendsTo2022.png</t>
  </si>
  <si>
    <t>Under-five mortality by region</t>
  </si>
  <si>
    <t>nmr_imr_u5mr_trendsTo2022.png</t>
  </si>
  <si>
    <t>Child mortality</t>
  </si>
  <si>
    <t>Status</t>
  </si>
  <si>
    <t>2023unigme_deaths_nmr_dim1.png</t>
  </si>
  <si>
    <t>fig 1 from 2023 unigme report (pg 12)</t>
  </si>
  <si>
    <t>All good as I checked UNIGME2023.GHO.2024-04-29.KIM.csv against current MCA aggregate data for country == "" &amp; (indicator == "Neonatal mortality rate" | indicator == "Infant mortality rate" | indicator == "Under-five mortality rate")</t>
  </si>
  <si>
    <t>NA</t>
  </si>
  <si>
    <t>Data came directly from IGME, so not impacted by MCA error</t>
  </si>
  <si>
    <t>Data came directly from Kate, so not impacted by MCA error</t>
  </si>
  <si>
    <t>https://xmart-api-public.who.int/REFMART/REF_COUNTRY</t>
  </si>
  <si>
    <t>Good</t>
  </si>
  <si>
    <t>data/external</t>
  </si>
  <si>
    <t>UNIGME-2023-SDGRegion-Rates-Deaths-Under-five.xlsx</t>
  </si>
  <si>
    <t xml:space="preserve">https://childmortality.org/#datasets </t>
  </si>
  <si>
    <t>(need to concatenate the age group and estimate tame (lower,med,upper) in excel before importing e.g. U5MR_lower, =CONCAT(C15,"_lower"))</t>
  </si>
  <si>
    <t>UNIGME-2021-Country-Rates-Deaths-Under-five_reshape.csv</t>
  </si>
  <si>
    <t>Present in location?</t>
  </si>
  <si>
    <t>Issue</t>
  </si>
  <si>
    <t>Stillbirth-rate-and-deaths_2023.xlsx</t>
  </si>
  <si>
    <t>https://data.unicef.org/wp-content/uploads/2020/10/Stillbirth-rate-and-deaths_2023.xlsx</t>
  </si>
  <si>
    <t>arr_estimates.xlsx</t>
  </si>
  <si>
    <t>data/external/</t>
  </si>
  <si>
    <t>?</t>
  </si>
  <si>
    <t>Not in github and no source listed</t>
  </si>
  <si>
    <t>data/</t>
  </si>
  <si>
    <t>UNIGME2023.GHO.2024-04-29.KIM.csv</t>
  </si>
  <si>
    <t xml:space="preserve">Gerard </t>
  </si>
  <si>
    <t>Matches what is currently in MCA_FACT_DATA_AGGREGATED. (because taken from what I prepared for GHO and not from GHO originally so didn't get the errors that came when GHO went to MCA.)</t>
  </si>
  <si>
    <t>UNIGME_data_for_WHO_2021.xlsx</t>
  </si>
  <si>
    <t>unigme estimates from 2021 with WHO regions (from Gerard email 18 jan 2022)</t>
  </si>
  <si>
    <t>data/raw/</t>
  </si>
  <si>
    <t>child_cod_2000_2019_reshape.csv</t>
  </si>
  <si>
    <t>Present in R code?</t>
  </si>
  <si>
    <t>Say2014_LGH_MatCauseDeath.xlsx</t>
  </si>
  <si>
    <t>data/external/UNICEF_LevelsTrends_2020</t>
  </si>
  <si>
    <t>data/external/UNICEF_LevelsTrends_2021</t>
  </si>
  <si>
    <t>data/external/UNICEF_LevelsTrends_2022</t>
  </si>
  <si>
    <t>data/external/UNICEF_LevelsTrends_2023</t>
  </si>
  <si>
    <t>data/external/UNICEF_LevelsTrends_2024</t>
  </si>
  <si>
    <t>data/external/UNICEF_LevelsTrends_2025</t>
  </si>
  <si>
    <t>data/external/UNICEF_LevelsTrends_2026</t>
  </si>
  <si>
    <t>data/external/UNICEF_LevelsTrends_2027</t>
  </si>
  <si>
    <t>Child-deaths-age-1-to-4_2020.xlsx</t>
  </si>
  <si>
    <t>Child-mortality-rate-age-1-4_2020.xlsx</t>
  </si>
  <si>
    <t>Infant-deaths_2020.xlsx</t>
  </si>
  <si>
    <t>Infant-mortality-rate_2020.xlsx</t>
  </si>
  <si>
    <t>Neonatal-deaths_2020.xlsx</t>
  </si>
  <si>
    <t>Neonatal-mortality-rate_2020.xlsx</t>
  </si>
  <si>
    <t>Under-five-deaths_2020.xlsx</t>
  </si>
  <si>
    <t>Under-five-mortality-rate_2020.xlsx</t>
  </si>
  <si>
    <t>All cause_All years.dta</t>
  </si>
  <si>
    <t>Cause-specific_ranking_All years.dta</t>
  </si>
  <si>
    <t>Data dictionary_causeSpecific_allCause.xlsx</t>
  </si>
  <si>
    <t>adol-cod.xlsx</t>
  </si>
  <si>
    <t>adol-cod-income.xlsx</t>
  </si>
  <si>
    <t>adol-cod-region.xlsx</t>
  </si>
  <si>
    <t>adol-mort.xlsx</t>
  </si>
  <si>
    <t>adol-mort-global.xlsx</t>
  </si>
  <si>
    <t>adol-mort-income.xlsx</t>
  </si>
  <si>
    <t>adol-mort-region.xlsx</t>
  </si>
  <si>
    <t>age_mort.rds</t>
  </si>
  <si>
    <t>age_yld.rds</t>
  </si>
  <si>
    <t>cod_ref.rds</t>
  </si>
  <si>
    <t>Copy of cause of death for under 5 age groups_2021_23052024.xlsx</t>
  </si>
  <si>
    <t>data_export_MNCAH_DM_Indicators_MNHcoveragekp.xlsx</t>
  </si>
  <si>
    <t>code "order"</t>
  </si>
  <si>
    <t>email from kate strong may 23 2024</t>
  </si>
  <si>
    <t>Question</t>
  </si>
  <si>
    <t>Where does it originally come from CA-CODE? IGME?</t>
  </si>
  <si>
    <t>FALSE?</t>
  </si>
  <si>
    <t>estimates_World.csv</t>
  </si>
  <si>
    <t>https://mmr2020.srhr.org/data#download
specifically: https://mmr2020.srhr.org/download_mmr_estimates.zip</t>
  </si>
  <si>
    <t>estimates_WHO_region.csv</t>
  </si>
  <si>
    <t>Say et al, Lancet Global Health, 2014</t>
  </si>
  <si>
    <t>GHO_maternalMMR_2000_2017_regionalGlobal.csv</t>
  </si>
  <si>
    <t>data files from Regina</t>
  </si>
  <si>
    <t>Cause_specific_ranking_AllYears.parquet</t>
  </si>
  <si>
    <t>cause specific data from regina.dta
file was huge so converted to csv in stata and then to parquet in this script: cause_specific_convert.R</t>
  </si>
  <si>
    <t>data/raw</t>
  </si>
  <si>
    <t>Cause_specific_ranking_AllYears.csv</t>
  </si>
  <si>
    <t>See notes from Cause_specific_ranking_AllYears.parquet</t>
  </si>
  <si>
    <t>cause specific data from regina.
dta file was huge so converted to csv in stata and then to parquet in this script: cause_specific_convert.R</t>
  </si>
  <si>
    <t>childcod_estimates_2000_2016.xls</t>
  </si>
  <si>
    <t>MCEE estimates last updated Feb 2018</t>
  </si>
  <si>
    <t>PolicySurvey_All.labels.xlsx</t>
  </si>
  <si>
    <t>SRMNCAH Policy Survey</t>
  </si>
  <si>
    <t>GLOBAL_DATAFLOW_2009-2019_UNICEFdataWarehouseStillbirth210921.xlsx</t>
  </si>
  <si>
    <t>UNICEF…But from where exactly</t>
  </si>
  <si>
    <t>https://xmart-api-public.who.int/MNCAH/MCA_FACT_DATA?$filter=INDICATOR_FK%20in%20(%22AC_ANEMIAPW%22,%22AC_ANEMIAWRA%22,%22BC_LBW%22)&amp;$select=INDICATOR_FK,YEAR_FK,COUNTRY_FK,COUNTRY_FK__CODE,ValueNumeric,ValueLow,ValueHigh,ValueStdDev,ValueStdErr,Comments,AGEGROUP_FK,Answer_FK,CauseGHE_FK,CauseGHEChild_FK,CauseENVCAUSE_FK,DatasourceLong,DatasourceShort,ImpSan_FK,ImpWater_FK,LivingArrangements_FK,MEASDEF_FK,MOTHEREDUCATION_FK,ProficiencyLevel_FK,ResideLTA_FK,RESIDENCEAREA_FK,SABDefinition_FK,SEVERITY_FK,SEVERITYHEARING_FK,SEVERITYVISION_FK,SEX_FK,WEALTHQUINTILE_FK</t>
  </si>
  <si>
    <t>https://ghoapi.azureedge.net/api/WHS_PBR</t>
  </si>
  <si>
    <t>https://xmart-api-public.who.int/MNCAH/MCA_FACT_DATA?$filter=INDICATOR_FK%20in%20(%22AC_A4V%22,%22MN_IRTSYR%22,%22WCAH_ANCSYP%22,%22BC_FPSMM%22,%22BC_BASHP%22,%22CANUT_EBF%22,%22CANUT_EIBF%22,%22MN_ARV_PMTCT%22,%22TECI_ORS%22,%22TECI_ORSZINC%22,%22TECI_PNEUHCP%22,%22PNC_MOM%22,%22PNC_NB%22,%22AC_PAB%22,%22WCAH_DTP3%22,%22WCAH_MCV2%22)&amp;$select=INDICATOR_FK,YEAR_FK,COUNTRY_FK,COUNTRY_FK__CODE,ValueNumeric,ValueLow,ValueHigh,ValueStdDev,ValueStdErr,Comments,AGEGROUP_FK,Answer_FK,CauseGHE_FK,CauseGHEChild_FK,CauseENVCAUSE_FK,DatasourceLong,DatasourceShort,ImpSan_FK,ImpWater_FK,LivingArrangements_FK,MEASDEF_FK,MOTHEREDUCATION_FK,ProficiencyLevel_FK,ResideLTA_FK,RESIDENCEAREA_FK,SABDefinition_FK,SEVERITY_FK,SEVERITYHEARING_FK,SEVERITYVISION_FK,SEX_FK,WEALTHQUINTILE_F</t>
  </si>
  <si>
    <t>MNHcoverage_trend_median2015-2024.png</t>
  </si>
  <si>
    <t>MNHcoverage_Antenatal_trend_median2015-2024.png</t>
  </si>
  <si>
    <t>MNHcoverage_Antenatal_recent_median2020-2024.png</t>
  </si>
  <si>
    <t>MNHcoverage_wealth_pncNB_2016-2022.png</t>
  </si>
  <si>
    <t>MNHcoverage_wealth_pncMOM_2016-2022.png</t>
  </si>
  <si>
    <t>MNHcoverage_recent_median2020-2024.png</t>
  </si>
  <si>
    <t>MNHcoverage_region_recent_medians2020-24.png</t>
  </si>
  <si>
    <t>https://extranet.who.int/xmart4/MNCAH/data/DM_Indicators</t>
  </si>
  <si>
    <t xml:space="preserve">used with "#21" to get indicator titles.
</t>
  </si>
  <si>
    <t>WPP2019_POP_F01_1_TOTAL_POPULATION_BOTH_SEXES.xlsx</t>
  </si>
  <si>
    <t>Maternal-and-Newborn-Health-Coverage-Database-August-2021.xlsx</t>
  </si>
  <si>
    <t>UNPD WPP 2019</t>
  </si>
  <si>
    <t>UNICEF</t>
  </si>
  <si>
    <t>Chunk "mat-newb-coverage-old" creates several datasets, but then doesn't seem to use them to generate pngs.</t>
  </si>
  <si>
    <t>Chunk "mnh_riskfactors" creates "WHS_PBR" but then it doesn't seem to use them to generate pngs.</t>
  </si>
  <si>
    <t>Chunk "stillbirths" creates "stillbirthsUNICEF" but then it doesn't seem to use them to generate pngs.</t>
  </si>
  <si>
    <t>Chunk "child-cod" creates "childcod_estimates_2000_2016" but then it doesn't seem to use them to generate pngs.</t>
  </si>
  <si>
    <t>https://ghoapi.azureedge.net/api/sba</t>
  </si>
  <si>
    <t>https://ghoapi.azureedge.net/api/ors</t>
  </si>
  <si>
    <t>https://ghoapi.azureedge.net/api/carep</t>
  </si>
  <si>
    <t>inequalities_ors85_decile_gho.png</t>
  </si>
  <si>
    <t>https://xmart-api-public.who.int/MNCAH/MCA_FACT_DATA?$filter=INDICATOR_FK%20in%20(%22TECI_ORS%22,%22TECI_ORSZINC%22,%22TECI_PNEUHCP%22)&amp;$select=INDICATOR_FK,YEAR_FK,COUNTRY_FK,COUNTRY_FK__CODE,ValueString,ValueNumeric,ValueLow,ValueHigh,ValueStdDev,ValueStdErr,Comments,EffectiveDate,EndDate,Status,AGEGROUP_FK,AGEGROUP_FK__CODE,Answer_FK,CauseGHE_FK,CauseGHE_FK__CODE,CauseGHEChild_FK,CauseGHEChild_FK__CODE,CauseENVCAUSE_FK,CauseENVCAUSE_FK__CODE,DatasourceLong,DatasourceShort,ImpSan_FK,ImpWater_FK,LivingArrangements_FK,MEASDEF_FK,MOTHEREDUCATION_FK,ProficiencyLevel_FK,ResideLTA_FK,RESIDENCEAREA_FK,SABDefinition_FK,SEVERITY_FK,SEVERITYHEARING_FK,SEVERITYVISION_FK,SEX_FK,WEALTHQUINTILE_FK</t>
  </si>
  <si>
    <t>child_coverage_medians2010-22.png</t>
  </si>
  <si>
    <t>https://xmart-api-public.who.int/MNCAH/MCA_FACT_DATA?$filter=INDICATOR_FK%20in%20(%22AGE_OVER60PCT%22)&amp;$select=INDICATOR_FK,YEAR_FK,COUNTRY_FK,COUNTRY_FK__CODE,ValueString,ValueNumeric,ValueLow,ValueHigh,ValueStdDev,ValueStdErr,Comments,EffectiveDate,EndDate,Status,AGEGROUP_FK,AGEGROUP_FK__CODE,Answer_FK,CauseGHE_FK,CauseGHE_FK__CODE,CauseGHEChild_FK,CauseGHEChild_FK__CODE,CauseENVCAUSE_FK,CauseENVCAUSE_FK__CODE,DatasourceLong,DatasourceShort,ImpSan_FK,ImpWater_FK,LivingArrangements_FK,MEASDEF_FK,MOTHEREDUCATION_FK,ProficiencyLevel_FK,ResideLTA_FK,RESIDENCEAREA_FK,SABDefinition_FK,SEVERITY_FK,SEVERITYHEARING_FK,SEVERITYVISION_FK,SEX_FK,WEALTHQUINTILE_FK</t>
  </si>
  <si>
    <t>https://xmart-api-public.who.int/MNCAH/MCA_FACT_DATA?$filter=INDICATOR_FK%20in%20(%22AGE_OVER80PCT%22)&amp;$select=INDICATOR_FK,YEAR_FK,COUNTRY_FK,COUNTRY_FK__CODE,ValueString,ValueNumeric,ValueLow,ValueHigh,ValueStdDev,ValueStdErr,Comments,EffectiveDate,EndDate,Status,AGEGROUP_FK,AGEGROUP_FK__CODE,Answer_FK,CauseGHE_FK,CauseGHE_FK__CODE,CauseGHEChild_FK,CauseGHEChild_FK__CODE,CauseENVCAUSE_FK,CauseENVCAUSE_FK__CODE,DatasourceLong,DatasourceShort,ImpSan_FK,ImpWater_FK,LivingArrangements_FK,MEASDEF_FK,MOTHEREDUCATION_FK,ProficiencyLevel_FK,ResideLTA_FK,RESIDENCEAREA_FK,SABDefinition_FK,SEVERITY_FK,SEVERITYHEARING_FK,SEVERITYVISION_FK,SEX_FK,WEALTHQUINTILE_FK</t>
  </si>
  <si>
    <t>https://xmart-api-public.who.int/MNCAH/MCA_FACT_DATA?$filter=INDICATOR_FK%20in%20(%22AGE_LE60%22,%22AGE_HALE60%22)&amp;$select=INDICATOR_FK,YEAR_FK,COUNTRY_FK,COUNTRY_FK__CODE,ValueString,ValueNumeric,ValueLow,ValueHigh,ValueStdDev,ValueStdErr,Comments,EffectiveDate,EndDate,Status,AGEGROUP_FK,AGEGROUP_FK__CODE,Answer_FK,CauseGHE_FK,CauseGHE_FK__CODE,CauseGHEChild_FK,CauseGHEChild_FK__CODE,CauseENVCAUSE_FK,CauseENVCAUSE_FK__CODE,DatasourceLong,DatasourceShort,ImpSan_FK,ImpWater_FK,LivingArrangements_FK,MEASDEF_FK,MOTHEREDUCATION_FK,ProficiencyLevel_FK,ResideLTA_FK,RESIDENCEAREA_FK,SABDefinition_FK,SEVERITY_FK,SEVERITYHEARING_FK,SEVERITYVISION_FK,SEX_FK,WEALTHQUINTILE_FK</t>
  </si>
  <si>
    <t>https://xmart-api-public.who.int/MNCAH/MCA_FACT_DATA?$filter=INDICATOR_FK%20in%20(%22AGE_MORT_TOP10%22)%20and%20YEAR_FK%20in%20(%222019%22)&amp;$select=INDICATOR_FK,YEAR_FK,COUNTRY_FK,COUNTRY_FK__CODE,ValueString,ValueNumeric,ValueLow,ValueHigh,ValueStdDev,ValueStdErr,Comments,EffectiveDate,EndDate,Status,AGEGROUP_FK,AGEGROUP_FK__CODE,Answer_FK,CauseGHE_FK,CauseGHE_FK__CODE,CauseGHEChild_FK,CauseGHEChild_FK__CODE,CauseENVCAUSE_FK,CauseENVCAUSE_FK__CODE,DatasourceLong,DatasourceShort,ImpSan_FK,ImpWater_FK,LivingArrangements_FK,MEASDEF_FK,MOTHEREDUCATION_FK,ProficiencyLevel_FK,ResideLTA_FK,RESIDENCEAREA_FK,SABDefinition_FK,SEVERITY_FK,SEVERITYHEARING_FK,SEVERITYVISION_FK,SEX_FK,WEALTHQUINTILE_FK</t>
  </si>
  <si>
    <t>https://xmart-api-public.who.int/MNCAH/MCA_FACT_DATA?$filter=INDICATOR_FK%20in%20(%22AGE_YLD%22)%20and%20YEAR_FK%20in%20(%222019%22)&amp;$select=INDICATOR_FK,YEAR_FK,COUNTRY_FK,COUNTRY_FK__CODE,ValueString,ValueNumeric,ValueLow,ValueHigh,ValueStdDev,ValueStdErr,Comments,EffectiveDate,EndDate,Status,AGEGROUP_FK,AGEGROUP_FK__CODE,Answer_FK,CauseGHE_FK,CauseGHE_FK__CODE,CauseGHEChild_FK,CauseGHEChild_FK__CODE,CauseENVCAUSE_FK,CauseENVCAUSE_FK__CODE,DatasourceLong,DatasourceShort,ImpSan_FK,ImpWater_FK,LivingArrangements_FK,MEASDEF_FK,MOTHEREDUCATION_FK,ProficiencyLevel_FK,ResideLTA_FK,RESIDENCEAREA_FK,SABDefinition_FK,SEVERITY_FK,SEVERITYHEARING_FK,SEVERITYVISION_FK,SEX_FK,WEALTHQUINTILE_FK</t>
  </si>
  <si>
    <t>https://xmart-api-public.who.int/MNCAH/MCA_FACT_DATA?$filter=INDICATOR_FK%20in%20(%22AGE_OBESITY%22,%22AGE_INSUFACT%22,%22AGE_RESIDE%22,%22AGE_LABOUR%22)&amp;$select=INDICATOR_FK,YEAR_FK,COUNTRY_FK,COUNTRY_FK__CODE,ValueString,ValueNumeric,ValueLow,ValueHigh,ValueStdDev,ValueStdErr,Comments,EffectiveDate,EndDate,Status,AGEGROUP_FK,AGEGROUP_FK__CODE,Answer_FK,CauseGHE_FK,CauseGHE_FK__CODE,CauseGHEChild_FK,CauseGHEChild_FK__CODE,CauseENVCAUSE_FK,CauseENVCAUSE_FK__CODE,DatasourceLong,DatasourceShort,ImpSan_FK,ImpWater_FK,LivingArrangements_FK,MEASDEF_FK,MOTHEREDUCATION_FK,ProficiencyLevel_FK,ResideLTA_FK,RESIDENCEAREA_FK,SABDefinition_FK,SEVERITY_FK,SEVERITYHEARING_FK,SEVERITYVISION_FK,SEX_FK,WEALTHQUINTILE_FK</t>
  </si>
  <si>
    <t>https://xmart-api-public.who.int/MNCAH/MCA_FACT_DATA?$filter=INDICATOR_FK%20in%20(%22AGE_RESIDELTA%22,%22AGE_FALL%22)&amp;$select=INDICATOR_FK,YEAR_FK,COUNTRY_FK,COUNTRY_FK__CODE,ValueString,ValueNumeric,ValueLow,ValueHigh,ValueStdDev,ValueStdErr,Comments,EffectiveDate,EndDate,Status,AGEGROUP_FK,AGEGROUP_FK__CODE,Answer_FK,CauseGHE_FK,CauseGHE_FK__CODE,CauseGHEChild_FK,CauseGHEChild_FK__CODE,CauseENVCAUSE_FK,CauseENVCAUSE_FK__CODE,DatasourceLong,DatasourceShort,ImpSan_FK,ImpWater_FK,LivingArrangements_FK,MEASDEF_FK,MOTHEREDUCATION_FK,ProficiencyLevel_FK,ResideLTA_FK,RESIDENCEAREA_FK,SABDefinition_FK,SEVERITY_FK,SEVERITYHEARING_FK,SEVERITYVISION_FK,SEX_FK,WEALTHQUINTILE_FK</t>
  </si>
  <si>
    <t>https://xmart-api-public.who.int/MNCAH/MCA_FACT_DATA?$filter=INDICATOR_FK%20in%20(%22AGE_BACKPAIN%22,%22AGE_AGEIST%22,%22AGE_ABUSE%22)&amp;$select=INDICATOR_FK,YEAR_FK,COUNTRY_FK,COUNTRY_FK__CODE,ValueString,ValueNumeric,ValueLow,ValueHigh,ValueStdDev,ValueStdErr,Comments,EffectiveDate,EndDate,Status,AGEGROUP_FK,AGEGROUP_FK__CODE,Answer_FK,CauseGHE_FK,CauseGHE_FK__CODE,CauseGHEChild_FK,CauseGHEChild_FK__CODE,CauseENVCAUSE_FK,CauseENVCAUSE_FK__CODE,DatasourceLong,DatasourceShort,ImpSan_FK,ImpWater_FK,LivingArrangements_FK,MEASDEF_FK,MOTHEREDUCATION_FK,ProficiencyLevel_FK,ResideLTA_FK,RESIDENCEAREA_FK,SABDefinition_FK,SEVERITY_FK,SEVERITYHEARING_FK,SEVERITYVISION_FK,SEX_FK,WEALTHQUINTILE_FK</t>
  </si>
  <si>
    <t>WPP2024_GEN_F01_DEMOGRAPHIC_INDICATORS_COMPACT.xlsx</t>
  </si>
  <si>
    <t>UNPD WPP 2024</t>
  </si>
  <si>
    <t>see "#25.0"</t>
  </si>
  <si>
    <t>undesa_pd_2022_living-arrangements-older-persons.csv</t>
  </si>
  <si>
    <t>https://xmart-api-public.who.int/MNCAH/MCA_FACT_DATA_AGGREGATED?%24filter=AGEGROUP_FK%20in%20(%22AGE60Y-PLUS%22)%20and%20INDICATOR_FK%20in%20(%22AGE_MORT_TOP20%22)%20and%20SEX_FK%20in%20(%22BTSX%22)&amp;%24select=INDICATOR_FK,GLOBAL_FK,REGION_FK,SDGRegion_FK,WORLDBANKINCOMEGROUP_FK,YEAR_FK,ValueString,ValueNumeric,ValueLow,ValueHigh,ValueStdDev,ValueStdErr,Comments,EffectiveDate,EndDate,Status,AGEGROUP_FK,AGEGROUP_FK__CODE,Answer_FK,CauseGHE_FK,CauseGHE_FK__CODE,CauseGHEChild_FK,CauseGHEChild_FK__CODE,CauseENVCAUSE_FK,CauseENVCAUSE_FK__CODE,DatasourceLong,DatasourceShort,ImpSan_FK,ImpWater_FK,LivingArrangements_FK,MEASDEF_FK,MOTHEREDUCATION_FK,ProficiencyLevel_FK,ResideLTA_FK,RESIDENCEAREA_FK,SABDefinition_FK,SEVERITY_FK,SEVERITYHEARING_FK,SEVERITYVISION_FK,SEX_FK,WEALTHQUINTILE_FK</t>
  </si>
  <si>
    <t>https://xmart-api-public.who.int/MNCAH/MCA_FACT_DATA_AGGREGATED?$filter=INDICATOR_FK%20in%20(%22AGE_YLD%22)%20and%20SEX_FK%20in%20(%22BTSX%22)</t>
  </si>
  <si>
    <t>AD_MORT_TOP20</t>
  </si>
  <si>
    <t>AD_MORT_ALL</t>
  </si>
  <si>
    <t>AD_MORT_TOP5</t>
  </si>
  <si>
    <t>see "#27.0"</t>
  </si>
  <si>
    <t>see "#28.0"</t>
  </si>
  <si>
    <t>mortrate_trends_regional_2024.png</t>
  </si>
  <si>
    <t>causedeaths_males-10-19_regional2021.png</t>
  </si>
  <si>
    <t>mortrate_trends_income21.png</t>
  </si>
  <si>
    <t>Appears in slides:
mortrate_trends_income21.png</t>
  </si>
  <si>
    <t>This is pretty old…nothing newer?</t>
  </si>
  <si>
    <t>Chunk "updated-adol-mort" creates "adol_mort" but it doesn't seem to get used</t>
  </si>
  <si>
    <t>Chunk "updated-adol-mort" creates "adol_cod" but it doesn't seem to get used</t>
  </si>
  <si>
    <t>Chunk "updated-adol-mort" creates "adol_mort_global" but it doesn't seem to get used</t>
  </si>
  <si>
    <t>Appears in data folder, but doesn't appear in code anywhere</t>
  </si>
  <si>
    <t>https://xmart-api-public.who.int/MNCAH/REF_CauseGHE</t>
  </si>
  <si>
    <t xml:space="preserve">Maternal mortality </t>
  </si>
  <si>
    <t>Maternal mortality: 287,000 maternal deaths in 2020</t>
  </si>
  <si>
    <t>Trends in maternal mortality 2000 to 2020: estimates by WHO, UNICEF, UNFPA, World Bank Group and UNDESA/Population Division. Geneva: World Health Organization; 2023</t>
  </si>
  <si>
    <t>PNG File name</t>
  </si>
  <si>
    <t>Maternal_MMR_trends2000-2020_dim2.png</t>
  </si>
  <si>
    <t>Maternal_numDeaths_trends2000-2020_dim2.png</t>
  </si>
  <si>
    <t>PNG input</t>
  </si>
  <si>
    <t xml:space="preserve">
Appears in slides:
age_abuse_2015_region.png</t>
  </si>
  <si>
    <t xml:space="preserve">
Appears in slides:
child_coverage_medians2010-22.png</t>
  </si>
  <si>
    <t xml:space="preserve">
Appear in slides:
inequalities_carep76_decile_gho.png
inequalities_carep94_edu_gho.png
inequalities_carep94_resid_gho.png
inequalities_carep83_subnatRegion_gho.png</t>
  </si>
  <si>
    <t xml:space="preserve">
Appear in slides:
inequalities_ors85_decile_gho.png
inequalities_ors98_edu_gho.png
inequalities_ors97_resid_gho.png
inequalities_ors91_subnatRegion_gho.png</t>
  </si>
  <si>
    <t xml:space="preserve">
Appear in slides:
inequalities_sba101_decile_gho.png
inequalities_sba104_edu_gho.png
inequalities_sba102_resid_gho.png
inequalities_sba102_subnatRegion_gho.png</t>
  </si>
  <si>
    <t xml:space="preserve">
Is this not in use?  
Don't Appear in slides:
LBW_region_popwtMean2015-2019.png
LBW_region_Medians2015-2020.png
AnaemiaPW_region_popwtMean2015-2019.png
AnaemiaPW_region_Medians2015-2019.png
</t>
  </si>
  <si>
    <t xml:space="preserve">Where did Regina get them from?
Chunks "adol-yll-yld-causeSpecific" &amp; "regional-trends-deaths" &amp; "lmic-trends-deaths" &amp; "regional-trends-yld" &amp; "lmic-trends-yld" generate the pngs below that all include 2019 in png name, none of which appear in the slideset.
Doesn't appear in slides:
causeYLL-10-19_global2019.png
causedeaths_males-10-19_regional2019.png
causedeaths_females-10-19_regional2019.png
causedeaths_males-10-19_income2019.png
causedeaths_females-10-19_income2019.png
causeSpec-rates-10-19_global.png
Cause_specific_2000.2019_10.14ym_top5.png
Cause_specific_2000.2019_15.19ym_top5.png
Cause_specific_2000.2019_10.14yf_top5.png
Cause_specific_2000.2019_15.19yf_top5.png
Cause_specificYLD_2000.2019_10.14ym_top5.png
Cause_specificYLD_2000.2019_15.19ym_top5.png
Cause_specificYLD_2000.2019_10.14yf_top5.png
Cause_specificYLD_2000.2019_15.19yf_top5.png
Cause_specific_2000.2019_10.14ym_top5_regional.png
Cause_specific_2000.2019_15.19ym_top5_regional.png
Cause_specific_2000.2019_10.14yf_top5_region.png
Cause_specific_2000.2019_15.19yf_top5_region.png
Cause_specific_2000.2019_10.14ym_top5_income.png
Cause_specific_2000.2019_15.19ym_top5_income.png
Cause_specific_2000.2019_10.14yf_top5_income.png
Cause_specific_2000.2019_15.19yf_top5_income.png
Cause_specificYLD_2000.2019_10.14ym_top5_regional.png
Cause_specificYLD_2000.2019_15.19ym_top5_regional.png
Cause_specificYLD_2000.2019_10.14yf_top5_regional.png
Cause_specificYLD_2000.2019_15.19yf_top5_regional.png
Cause_specificYLD_2000.2019_10.14ym_top5_income.png
Cause_specificYLD_2000.2019_15.19ym_top5_income.png
Cause_specificYLD_2000.2019_10.14yf_top5_income.png
Cause_specificYLD_2000.2019_15.19yf_top5_income.png
</t>
  </si>
  <si>
    <t>Not in github. Where did Regina get them from?
Is this not in use?  
Don't appear in slides:
YLL-YLD-10-19_global.png
YLL-YLD-10-19_region_males.png
YLL-YLD-10-19_region_females.png
mortRates_10-19_global.png
yldrates_trends_10-19_global.png</t>
  </si>
  <si>
    <t>Not in github and no source listed.
Is this not in use?  
Don't appear in slides:
Maternal_numDeaths_trends2000-2017_dim1.png
Maternal_numDeaths_trends2000-2017_dim2.png
Maternal_MMR_trends2000-2017_dim1.png
Maternal_MMR_trends2000-2017_dim2.png
Maternal_ratio_trends2000-2030_sdgtargets.png</t>
  </si>
  <si>
    <t>Not in github and no source listed.
Is this not in use?
Don't appear in slides:
Neonatal_CauseDeath_pie_MCEE19_nolab.png
Neonatal_CauseDeath_stackBar_MCEE19.png</t>
  </si>
  <si>
    <t>Not in github, but I added it from my email.
Is this not in use?
Don't appear in slides:
2021unigme_rates_Regions_nmr_imr_cmr_u5mr.png
2021unigme_rates_Regions_nmr.png
2021unigme_rates_Regions_nmr_imr.png
2021unigme_rates_Regions_nmr_imr_cmr.png</t>
  </si>
  <si>
    <t>R code file</t>
  </si>
  <si>
    <t>R code chunk</t>
  </si>
  <si>
    <t>Present in Slides?</t>
  </si>
  <si>
    <t>Data source 1</t>
  </si>
  <si>
    <t>Data source 2</t>
  </si>
  <si>
    <t>Data source 3</t>
  </si>
  <si>
    <t>2023unigme_rates_nmr_imr_cmr_u5mr_dim1.png</t>
  </si>
  <si>
    <t>newborn-mort-2021</t>
  </si>
  <si>
    <t>2023unigme_deaths_nmr_imr_cmr_u5mr_dim1.png</t>
  </si>
  <si>
    <t>newborn-mort-2022</t>
  </si>
  <si>
    <t>newborn-mort-2023</t>
  </si>
  <si>
    <t>newborn-mort-2024</t>
  </si>
  <si>
    <t>newborn-mort-2025</t>
  </si>
  <si>
    <t>stillbirth_nmr</t>
  </si>
  <si>
    <t>nmr_stillbirth_nolab.png</t>
  </si>
  <si>
    <t>reductions_obs_req.png</t>
  </si>
  <si>
    <t>newborn-mort-igme21-regional</t>
  </si>
  <si>
    <t>iu5r_trendsTo2022.png</t>
  </si>
  <si>
    <t>2021unigme_rates_Regions_nmr_imr_cmr_u5mr.png</t>
  </si>
  <si>
    <t>2021unigme_rates_Regions_nmr.png</t>
  </si>
  <si>
    <t>2021unigme_rates_Regions_nmr_imr.png</t>
  </si>
  <si>
    <t>2021unigme_rates_Regions_nmr_imr_cmr.png</t>
  </si>
  <si>
    <t>Neonatal_CauseDeath_pie_MCEE19.png</t>
  </si>
  <si>
    <t>neo-cod-mcee19</t>
  </si>
  <si>
    <t>Neonatal_CauseDeath_pie_MCEE19_nolab.png</t>
  </si>
  <si>
    <t>Neonatal_CauseDeath_stackBar_MCEE19.png</t>
  </si>
  <si>
    <t>neo-cod-cacode</t>
  </si>
  <si>
    <t>maternal-mort</t>
  </si>
  <si>
    <t>Maternal_MMR_trends2000-2020_dim1.png</t>
  </si>
  <si>
    <t>Maternal_numDeaths_trends2000-2020_dim1.png</t>
  </si>
  <si>
    <t>Maternal_MMR_trends_WHOreg_2000-2020_dim1.png</t>
  </si>
  <si>
    <t>Maternal_MMR_trends_income_2000-2020_dim1.png</t>
  </si>
  <si>
    <t>estimates_World_Bank_Income.csv</t>
  </si>
  <si>
    <t>Maternal_CauseDeath_pie_Say_LGH_2014.png</t>
  </si>
  <si>
    <t>Maternal_CauseDeath_stackBar_Say_LGH_2014.png</t>
  </si>
  <si>
    <t>Maternal_MMR_trends2000-2017_dim2.png</t>
  </si>
  <si>
    <t>Maternal_MMR_trends2000-2017_dim1.png</t>
  </si>
  <si>
    <t>Maternal_numDeaths_trends2000-2017_dim2.png</t>
  </si>
  <si>
    <t>Maternal_numDeaths_trends2000-2017_dim1.png</t>
  </si>
  <si>
    <t>Maternal_ratio_trends2000-2030_sdgtargets.png</t>
  </si>
  <si>
    <t>YLL-YLD-10-19_global.png</t>
  </si>
  <si>
    <t>adol-yll-yld-allCause</t>
  </si>
  <si>
    <t>YLL-YLD-10-19_region_males.png</t>
  </si>
  <si>
    <t>YLL-YLD-10-19_region_females.png</t>
  </si>
  <si>
    <t>mortRates_10-19_global.png</t>
  </si>
  <si>
    <t>yldrates_trends_10-19_global.png</t>
  </si>
  <si>
    <t>mortrate_trends_female_regional.png</t>
  </si>
  <si>
    <t>mortrate_trends_male_regional.png</t>
  </si>
  <si>
    <t>mortrate_trends_regional.png</t>
  </si>
  <si>
    <t>mortrate_trends_regional_legend.png</t>
  </si>
  <si>
    <t>yld_trends_female_regional.png</t>
  </si>
  <si>
    <t>yld_trends_male_regional.png</t>
  </si>
  <si>
    <t>yld_trends_regional.png</t>
  </si>
  <si>
    <t>yld_trends_regional_legend.png</t>
  </si>
  <si>
    <t>mortrate_trends_income.png</t>
  </si>
  <si>
    <t>yld_trends_income.png</t>
  </si>
  <si>
    <t>adol-yll-yld-causeSpecific</t>
  </si>
  <si>
    <t>causeYLL-10-19_global2019.png</t>
  </si>
  <si>
    <t>causedeaths_males-10-19_regional2019.png</t>
  </si>
  <si>
    <t>causedeaths_females-10-19_regional2019.png</t>
  </si>
  <si>
    <t>causedeaths_males-10-19_income2019.png</t>
  </si>
  <si>
    <t>causedeaths_females-10-19_income2019.png</t>
  </si>
  <si>
    <t>causeSpec-rates-10-19_global.png</t>
  </si>
  <si>
    <t>Cause_specific_2000.2019_10.14ym_top5.png</t>
  </si>
  <si>
    <t>Cause_specific_2000.2019_15.19ym_top5.png</t>
  </si>
  <si>
    <t>Cause_specific_2000.2019_10.14yf_top5.png</t>
  </si>
  <si>
    <t>Cause_specific_2000.2019_15.19yf_top5.png</t>
  </si>
  <si>
    <t>Cause_specificYLD_2000.2019_10.14ym_top5.png</t>
  </si>
  <si>
    <t>Cause_specificYLD_2000.2019_15.19ym_top5.png</t>
  </si>
  <si>
    <t>Cause_specificYLD_2000.2019_10.14yf_top5.png</t>
  </si>
  <si>
    <t>Cause_specificYLD_2000.2019_15.19yf_top5.png</t>
  </si>
  <si>
    <t>Cause_specific_2000.2019_10.14ym_top5_regional.png</t>
  </si>
  <si>
    <t>Cause_specific_2000.2019_15.19ym_top5_regional.png</t>
  </si>
  <si>
    <t>Cause_specific_2000.2019_10.14yf_top5_region.png</t>
  </si>
  <si>
    <t>Cause_specific_2000.2019_15.19yf_top5_region.png</t>
  </si>
  <si>
    <t>Cause_specific_2000.2019_10.14ym_top5_income.png</t>
  </si>
  <si>
    <t>Cause_specific_2000.2019_15.19ym_top5_income.png</t>
  </si>
  <si>
    <t>Cause_specific_2000.2019_10.14yf_top5_income.png</t>
  </si>
  <si>
    <t>Cause_specific_2000.2019_15.19yf_top5_income.png</t>
  </si>
  <si>
    <t>Cause_specificYLD_2000.2019_10.14ym_top5_regional.png</t>
  </si>
  <si>
    <t>Cause_specificYLD_2000.2019_15.19ym_top5_regional.png</t>
  </si>
  <si>
    <t>Cause_specificYLD_2000.2019_10.14yf_top5_regional.png</t>
  </si>
  <si>
    <t>Cause_specificYLD_2000.2019_15.19yf_top5_regional.png</t>
  </si>
  <si>
    <t>Cause_specificYLD_2000.2019_10.14ym_top5_income.png</t>
  </si>
  <si>
    <t>Cause_specificYLD_2000.2019_15.19ym_top5_income.png</t>
  </si>
  <si>
    <t>Cause_specificYLD_2000.2019_10.14yf_top5_income.png</t>
  </si>
  <si>
    <t>Cause_specificYLD_2000.2019_15.19yf_top5_income.png</t>
  </si>
  <si>
    <t>causeYLD-10-19_global2019.png</t>
  </si>
  <si>
    <t>causeYLD-10-19males_regional_2019.png</t>
  </si>
  <si>
    <t>causeYLD-10-19females_regional_2019.png</t>
  </si>
  <si>
    <t>causeYLD-10-19males_income_2019.png</t>
  </si>
  <si>
    <t>causeYLD-10-19females_income_2019.png</t>
  </si>
  <si>
    <t>mpdsr_policy.png</t>
  </si>
  <si>
    <t>mpdsr_policy_MN_54.png</t>
  </si>
  <si>
    <t>mpdsr_policy_MN_55.png</t>
  </si>
  <si>
    <t>mpdsr_policy_MN_56.png</t>
  </si>
  <si>
    <t>LBW_region_popwtMean2015-2019.png</t>
  </si>
  <si>
    <t>LBW_region_Medians2015-2020.png</t>
  </si>
  <si>
    <t>AnaemiaPW_region_popwtMean2015-2019.png</t>
  </si>
  <si>
    <t>AnaemiaPW_region_Medians2015-2019.png</t>
  </si>
  <si>
    <t>age_over60pct_map.png</t>
  </si>
  <si>
    <t>age_over60pct_map_2030.png</t>
  </si>
  <si>
    <t>age_over60pct_map-2050.png</t>
  </si>
  <si>
    <t>age60plspct_trends_region.png</t>
  </si>
  <si>
    <t>age60plspct_trends2050_region.png</t>
  </si>
  <si>
    <t>age60plspct_trends2050_region_labels.png</t>
  </si>
  <si>
    <t>age60plspct_sex_region.png</t>
  </si>
  <si>
    <t>age60plspct_sex_income.png</t>
  </si>
  <si>
    <t>age80plspct_sex_region.png</t>
  </si>
  <si>
    <t>age80plspct_sex_income.png</t>
  </si>
  <si>
    <t>aging_hale_country.png</t>
  </si>
  <si>
    <t>aging_hale_countryv2.png</t>
  </si>
  <si>
    <t>aging_ha_le_region_sex.png</t>
  </si>
  <si>
    <t>aging_ha_le_income_sex.png</t>
  </si>
  <si>
    <t>age_insufact70pls_sex_region.png</t>
  </si>
  <si>
    <t>age_reside_2010-19_country.png</t>
  </si>
  <si>
    <t>age_reside_2010-19_country_sear-emr-afr-wpr.png</t>
  </si>
  <si>
    <t>age_reside_2010-19_country_amr-eur.png</t>
  </si>
  <si>
    <t>age_labour65pls_2015-23_sex_region.png</t>
  </si>
  <si>
    <t>age_longtermcarefac_2010-22.png</t>
  </si>
  <si>
    <t>age_longtermcarefac_home_2010-22.png</t>
  </si>
  <si>
    <t>age_longtermcarefac_home_2010-21-ages65and80.png</t>
  </si>
  <si>
    <t>age_fall_2019_region.png</t>
  </si>
  <si>
    <t>age_backpain_2019_region.png</t>
  </si>
  <si>
    <t>age_ageism_2014_region.png</t>
  </si>
  <si>
    <t>age_abuse_2015_region.png</t>
  </si>
  <si>
    <t>age_reside60_2010-21_country_undesa_full.png</t>
  </si>
  <si>
    <t>age_reside60_2010-21_country_undesa_sear_emr_afr_wpr.png</t>
  </si>
  <si>
    <t>age_reside60_2010-21_country_undesa_amr_eur.png</t>
  </si>
  <si>
    <t>age_reside80_2010-21_country_undesa_full.png</t>
  </si>
  <si>
    <t>age_reside80_2010-21_country_undesa_sear_emr_afr_wpr.png</t>
  </si>
  <si>
    <t>age_reside80_2010-21_country_undesa_amr_eur.png</t>
  </si>
  <si>
    <t>aging_cod60_global_ranks.png</t>
  </si>
  <si>
    <t>aging_cod60_global_ranks_00-19.png</t>
  </si>
  <si>
    <t>aging_cod60_global_ranks_00-19simplified.png</t>
  </si>
  <si>
    <t>aging_cod60_income_ranks.png</t>
  </si>
  <si>
    <t>aging_cod60_income_ranks_simplified.png</t>
  </si>
  <si>
    <t>aging_cod60_income_ranks_simplified_narrow.png</t>
  </si>
  <si>
    <t>aging_cod60_global_rate.png</t>
  </si>
  <si>
    <t>aging_yld_global_ranks.png</t>
  </si>
  <si>
    <t>aging_yld_global_ranks_simplified.png</t>
  </si>
  <si>
    <t>aging_yld_global_ranks_simplified_grouped.png</t>
  </si>
  <si>
    <t>causedeaths_females-10-19_regional2021.png</t>
  </si>
  <si>
    <t>Cause_specific_2010.2021_10.14ym_top5_regional.png</t>
  </si>
  <si>
    <t>Cause_specific_2010.2021_15.19ym_top5_regional.png</t>
  </si>
  <si>
    <t>Cause_specific_2010.2021_10.14yf_top5_regional.png</t>
  </si>
  <si>
    <t>Cause_specific_2010.2021_15.19yf_top5_regional.png</t>
  </si>
  <si>
    <t>causedeaths_males-10-19_income2021r.png</t>
  </si>
  <si>
    <t>causedeaths_females-10-19_income2021r.png</t>
  </si>
  <si>
    <t>Cause_specific_2010.2021_10.14ym_top5_income.png</t>
  </si>
  <si>
    <t>Cause_specific_2010.2021_15.19ym_top5_income.png</t>
  </si>
  <si>
    <t>Cause_specific_2010.2021_10.14yf_top5_income.png</t>
  </si>
  <si>
    <t>Cause_specific_2010.2021_15.19yf_top5_income.png</t>
  </si>
  <si>
    <t>mortRates_10-19_2021_global.png</t>
  </si>
  <si>
    <t>causeSpec-rates-10-19_global2021.png</t>
  </si>
  <si>
    <t>Cause_specific_2007.2021_10.14ym_top5.png</t>
  </si>
  <si>
    <t>Cause_specific_2007.2021_15.19ym_top5.png</t>
  </si>
  <si>
    <t>Cause_specific_2007.2021_10.14yf_top5.png</t>
  </si>
  <si>
    <t>Cause_specific_2007.2021_15.19yf_top5.png</t>
  </si>
  <si>
    <t>regional-trends-deaths</t>
  </si>
  <si>
    <t>lmic-trends-deaths</t>
  </si>
  <si>
    <t>regional-trends-yld</t>
  </si>
  <si>
    <t>lmic-trends-yld</t>
  </si>
  <si>
    <t>mpdsr</t>
  </si>
  <si>
    <t>mnh_riskfactors</t>
  </si>
  <si>
    <t>mat-newb-coverage-xmart</t>
  </si>
  <si>
    <t>inequalities_PNC_MOM_decile_xmart.png</t>
  </si>
  <si>
    <t>inequalities_PNC_NB_decile_xmart.png</t>
  </si>
  <si>
    <t>inequalities_PNC_MOM_resid_xmart.png</t>
  </si>
  <si>
    <t>inequalities_PNC_NB_resid_xmart.png</t>
  </si>
  <si>
    <t>https://xmart-api-public.who.int/MNCAH/MCA_FACT_DATA?$filter=INDICATOR_FK%20in%20(%22AC_A4V%22,%22MN_IRTSYR%22,%22WCAH_ANCSYP%22,%22BC_FPSMM%22,%22BC_BASHP%22,%22CANUT_EBF%22,%22CANUT_EIBF%22,%22MN_ARV_PMTCT%22,%22TECI_ORS%22,%22TECI_ORSZINC%22,%22TECI_PNEUHCP%22,%22PNC_MOM%22,%22PNC_NB%22,%22AC_PAB%22,%22WCAH_DTP3%22,%22WCAH_MCV2%22)&amp;$select=INDICATOR_FK,YEAR_FK,COUNTRY_FK,COUNTRY_FK__CODE,ValueNumeric,ValueLow,ValueHigh,ValueStdDev,ValueStdErr,Comments,AGEGROUP_FK,Answer_FK,CauseGHE_FK,CauseGHEChild_FK,CauseENVCAUSE_FK,DatasourceLong,DatasourceShort,ImpSan_FK,ImpWater_FK,LivingArrangements_FK,MEASDEF_FK,MOTHEREDUCATION_FK,ProficiencyLevel_FK,ResideLTA_FK,RESIDENCEAREA_FK,SABDefinition_FK,SEVERITY_FK,SEVERITYHEARING_FK,SEVERITYVISION_FK,SEX_FK,WEALTHQUINTILE_FK</t>
  </si>
  <si>
    <t>inequalities_sba101_decile_gho.png</t>
  </si>
  <si>
    <t>inequalities_sba104_edu_gho.png</t>
  </si>
  <si>
    <t>inequalities_sba102_resid_gho.png</t>
  </si>
  <si>
    <t>inequalities_sba102_subnatRegion_gho.png</t>
  </si>
  <si>
    <t>inequalities_ors98_edu_gho.png</t>
  </si>
  <si>
    <t>inequalities_ors97_resid_gho.png</t>
  </si>
  <si>
    <t>inequalities_ors91_subnatRegion_gho.png</t>
  </si>
  <si>
    <t>inequalities_carep76_decile_gho.png</t>
  </si>
  <si>
    <t>inequalities_carep94_edu_gho.png</t>
  </si>
  <si>
    <t>inequalities_carep94_resid_gho.png</t>
  </si>
  <si>
    <t>inequalities_carep83_subnatRegion_gho.png</t>
  </si>
  <si>
    <t>equity</t>
  </si>
  <si>
    <t>child cov</t>
  </si>
  <si>
    <t xml:space="preserve">
https://xmart-api-public.who.int/MNCAH/MCA_FACT_DATA?$filter=INDICATOR_FK%20in%20(%22AGE_OVER60PCT%22,%22AGE_OVER80PCT%22,%22AGE_LE60%22,%22AGE_HALE60%22,%22AGE_MORT_TOP10%22,%22AGE_YLD%22,%22AGE_OBESITY%22,%22AGE_INSUFACT%22,%22AGE_RESIDE%22,%22AGE_LABOUR%22,%22AGE_RESIDELTA%22,%22AGE_FALL%22,%22AGE_BACKPAIN%22,%22AGE_AGEIST%22,%22AGE_ABUSE%22)&amp;$select=INDICATOR_FK,YEAR_FK,COUNTRY_FK,COUNTRY_FK__CODE,ValueString,ValueNumeric,ValueLow,ValueHigh,ValueStdDev,ValueStdErr,Comments,EffectiveDate,EndDate,Status,AGEGROUP_FK,AGEGROUP_FK__CODE,Answer_FK,CauseGHE_FK,CauseGHE_FK__CODE,CauseGHEChild_FK,CauseGHEChild_FK__CODE,CauseENVCAUSE_FK,CauseENVCAUSE_FK__CODE,DatasourceLong,DatasourceShort,ImpSan_FK,ImpWater_FK,LivingArrangements_FK,MEASDEF_FK,MOTHEREDUCATION_FK,ProficiencyLevel_FK,ResideLTA_FK,RESIDENCEAREA_FK,SABDefinition_FK,SEVERITY_FK,SEVERITYHEARING_FK,SEVERITYVISION_FK,SEX_FK,WEALTHQUINTILE_FK</t>
  </si>
  <si>
    <t>aging</t>
  </si>
  <si>
    <t>age-living-arrangments</t>
  </si>
  <si>
    <t>https://www.un.org/development/desa/pd/sites/www.un.org.development.desa.pd/files/undesa_pd_2022_living-arrangements-older-persons.xlsx</t>
  </si>
  <si>
    <t>aging_cod</t>
  </si>
  <si>
    <t>age_yld</t>
  </si>
  <si>
    <t>unigme_childmort21</t>
  </si>
  <si>
    <t>updated-adol-mort</t>
  </si>
  <si>
    <t>Data file location</t>
  </si>
  <si>
    <t>https://xmart-api-public.who.int/MNCAH/MCA_FACT_DATA_AGGREGATED?$filter=INDICATOR_FK%20in%20(%22AGE_ABUSE%22)%20and%20SEX_FK%20in%20(%22BTSX%22)&amp;$select=INDICATOR_FK,GLOBAL_FK,REGION_FK,SDGRegion_FK,WORLDBANKINCOMEGROUP_FK,YEAR_FK,ValueString,ValueNumeric,ValueLow,ValueHigh,ValueStdDev,ValueStdErr,Comments,EffectiveDate,EndDate,Status,AGEGROUP_FK,AGEGROUP_FK__CODE,Answer_FK,CauseGHE_FK,CauseGHE_FK__CODE,CauseGHEChild_FK,CauseGHEChild_FK__CODE,CauseENVCAUSE_FK,CauseENVCAUSE_FK__CODE,DatasourceLong,DatasourceShort,ImpSan_FK,ImpWater_FK,LivingArrangements_FK,MEASDEF_FK,MOTHEREDUCATION_FK,ProficiencyLevel_FK,ResideLTA_FK,RESIDENCEAREA_FK,SABDefinition_FK,SEVERITY_FK,SEVERITYHEARING_FK,SEVERITYVISION_FK,SEX_FK,WEALTHQUINTILE_FK</t>
  </si>
  <si>
    <t>Data Source
(file name, api call, citation, etc.)</t>
  </si>
  <si>
    <t>Source detail</t>
  </si>
  <si>
    <t>I supsect that this is 2018-2019 policy survey and not 2023. Why is that?
Doesn't appear in slides:
mpdsr_policy.png is created in code but not used in slides.
Appear in slides:
mpdsr_policy_MN_54.png is created in code and used in slides.
mpdsr_policy_MN_55.png is created in code and used in slides.</t>
  </si>
  <si>
    <t>Don't appear in slides:
MNHcoverage_trend_median2015-2024.png
MNHcoverage_Antenatal_trend_median2015-2024.png
MNHcoverage_Antenatal_recent_median2020-2024.png
MNHcoverage_wealth_pncNB_2016-2022.png
MNHcoverage_wealth_pncMOM_2016-2022.png
Appear in slides:
MNHcoverage_recent_median2020-2024.png
MNHcoverage_region_recent_medians2020-24.png
Plus a bunch with inequalities_ as prefix and a variety of suffixes.  Given the way the code is written it is hard to tell if all the pngs are used or not.</t>
  </si>
  <si>
    <t xml:space="preserve">Don't appear in slides:
age_over60pct_map-2050.png
age60plspct_trends_region.png
age60plspct_trends2050_region.png
age60plspct_trends2050_region_labels.png
age60plspct_sex_income.png
age80plspct_sex_income.png
aging_hale_country.png
age_reside_2010-19_country.png
age_reside_2010-19_country_sear-emr-afr-wpr.png
age_reside_2010-19_country_amr-eur.png
age_longtermcarefac_2010-22.png
age_longtermcarefac_home_2010-22.png
age_longtermcarefac_home_2010-21-ages65and80.png
Appear in slides:
age_over60pct_map.png
age_over60pct_map_2030.png
age60plspct_sex_region.png
age80plspct_sex_region.png
aging_hale_countryv2.png
aging_ha_le_region_sex.png
aging_ha_le_income_sex.png
age_insufact70pls_sex_region.png
age_labour65pls_2015-23_sex_region.png
age_fall_2019_region.png
age_backpain_2019_region.png
age_ageism_2014_region.png
</t>
  </si>
  <si>
    <t xml:space="preserve">Not in github but I downloaded and added.
Don't appear in slides:
age_reside60_2010-21_country_undesa_full.png
age_reside60_2010-21_country_undesa_sear_emr_afr_wpr.png
age_reside80_2010-21_country_undesa_full.png
age_reside80_2010-21_country_undesa_sear_emr_afr_wpr
Appear in slides:
age_reside60_2010-21_country_undesa_amr_eur.png
age_reside80_2010-21_country_undesa_amr_eur.png
</t>
  </si>
  <si>
    <t xml:space="preserve">Don't appear in slides:
aging_cod60_global_ranks.png
aging_cod60_global_ranks_00-19.png
aging_cod60_income_ranks.png
aging_cod60_income_ranks_simplified.png
aging_cod60_global_rate.png
Appear in slides:
aging_cod60_global_ranks_00-19simplified.png
aging_cod60_income_ranks_simplified_narrow.png
</t>
  </si>
  <si>
    <t>Don't appear in slides:
aging_yld_global_ranks.png
aging_yld_global_ranks_simplified.png
Chunk "age_yld" has section "## region" that prepares plots that don't have any png outputs.
Appears in slides:
aging_yld_global_ranks_simplified_grouped.png</t>
  </si>
  <si>
    <t>Don't appear in slides:
causedeaths_males-10-19_income2021r.png
causedeaths_females-10-19_income2021r.png
Appear in slides:
Cause_specific_2010.2021_10.14ym_top5_income.png
Cause_specific_2010.2021_15.19ym_top5_income.png
Cause_specific_2010.2021_10.14yf_top5_income.png
Cause_specific_2010.2021_15.19yf_top5_income.png</t>
  </si>
  <si>
    <t>Don't appear in slides:
Cause_specific_2010.2021_10.14yf_top5_regional.png
Cause_specific_2010.2021_15.19yf_top5_regional.png
Appear in slides:
causedeaths_males-10-19_regional2021.png
causedeaths_females-10-19_regional2021.png
Cause_specific_2010.2021_10.14ym_top5_regional.png
Cause_specific_2010.2021_15.19ym_top5_regional.png
causeSpec-rates-10-19_global2021.png
Cause_specific_2007.2021_10.14ym_top5.png
Cause_specific_2007.2021_15.19ym_top5.png
Cause_specific_2007.2021_10.14yf_top5.png
Cause_specific_2007.2021_15.19yf_top5.png</t>
  </si>
  <si>
    <t>Doesn't appear in slides:
mortRates_10-19_2021_global.png
Appears in slides:
mortrate_trends_regional_2024.png</t>
  </si>
  <si>
    <t>cause_specific_convert.R</t>
  </si>
  <si>
    <t>This isn't really in the code. I just made it up to summarize the Ageing API calls.</t>
  </si>
  <si>
    <t>United Nations Inter-agency Group for Child Mortality Estimation (UN IGME), Levels &amp; Trends in Child Mortality: Report 2023, Estimates developed by the United Nations Inter-agency Group for Child Mortality Estimation, United Nations Children’s Fund, New York, 2024</t>
  </si>
  <si>
    <t>Dodged</t>
  </si>
  <si>
    <t>Master title</t>
  </si>
  <si>
    <t>MPDSR</t>
  </si>
  <si>
    <t>MNH Risk Factors</t>
  </si>
  <si>
    <t>MNH Coverage</t>
  </si>
  <si>
    <t>Child coverage</t>
  </si>
  <si>
    <t>Adolescent morbidity/mortality</t>
  </si>
  <si>
    <t>Ageing – demographics/mortality</t>
  </si>
  <si>
    <t>Ageing – risk factors &amp; social conditions</t>
  </si>
  <si>
    <t>Slide description</t>
  </si>
  <si>
    <t>Title slide</t>
  </si>
  <si>
    <t>Map</t>
  </si>
  <si>
    <t>Maternal mortality ratio + Number of maternal deaths</t>
  </si>
  <si>
    <t>Maternal mortality ratio</t>
  </si>
  <si>
    <t>Number of maternal deaths</t>
  </si>
  <si>
    <t>Maternal mortality ratio by WHO region</t>
  </si>
  <si>
    <t>Maternal mortality ratio by Income</t>
  </si>
  <si>
    <t>Maternal Causes of Death, 2014</t>
  </si>
  <si>
    <t>setup</t>
  </si>
  <si>
    <t>child-cod</t>
  </si>
  <si>
    <t>stillbirths</t>
  </si>
  <si>
    <t>mat-newb-coverage-old</t>
  </si>
  <si>
    <t>R code chunk(s)</t>
  </si>
  <si>
    <t>Maternal Causes of Death, 2014 - Pie chart</t>
  </si>
  <si>
    <t>Maternal Causes of Death, 2014 - stacked vertical bar graph</t>
  </si>
  <si>
    <t>Slide Citation</t>
  </si>
  <si>
    <t>PNG data source 1</t>
  </si>
  <si>
    <t>Source Citation</t>
  </si>
  <si>
    <t>Date Created</t>
  </si>
  <si>
    <t>Updated data expected</t>
  </si>
  <si>
    <t>2023-05</t>
  </si>
  <si>
    <t>2021-11</t>
  </si>
  <si>
    <t>UN-IGME Never Forgotten: The situation of stillbirth around the globe, 2023</t>
  </si>
  <si>
    <t>Number of stillbirths + Stillbirth rate (Global)</t>
  </si>
  <si>
    <t>Neonatal mortality rate + Stillbirth rate</t>
  </si>
  <si>
    <t>2024-04</t>
  </si>
  <si>
    <t xml:space="preserve">Clear definitions are needed for international comparisons </t>
  </si>
  <si>
    <t>Timeline</t>
  </si>
  <si>
    <t>Where do most stillbirths take place?</t>
  </si>
  <si>
    <t>When do most stillbirths occur?</t>
  </si>
  <si>
    <t>If current trends continue</t>
  </si>
  <si>
    <t>Requirements for ending preventable stillbirths</t>
  </si>
  <si>
    <t>bullet points</t>
  </si>
  <si>
    <t>Neonatal mortality rate map</t>
  </si>
  <si>
    <t>https://childmortality.org/wp-content/uploads/2024/03/UNIGME-2023-Child-Mortality-Report.pdf</t>
  </si>
  <si>
    <t>2.3 million deaths in 2022</t>
  </si>
  <si>
    <t>Neonatal Mortality rates + neonatal number of deaths (global)</t>
  </si>
  <si>
    <t>Neonatal Mortality rates + neonatal number of deaths (global)
Infant Mortality rates + Infant number of deaths (global)</t>
  </si>
  <si>
    <t>Neonatal Mortality rates + neonatal number of deaths (global)
Infant Mortality rates + Infant number of deaths (global)
Child Mortality rates + Child number of deaths (global)</t>
  </si>
  <si>
    <t>Child and Adolescent Cause of Death Estimation Group (CA-CODE) 2021</t>
  </si>
  <si>
    <t>2024-05</t>
  </si>
  <si>
    <t>strongk@who.int</t>
  </si>
  <si>
    <t>Neonatal Mortality rates + neonatal number of deaths (global)
Infant Mortality rates + Infant number of deaths (global)
Child Mortality rates + Child number of deaths (global)
Under 5 Mortality rates + Under 5 number of deaths (global)</t>
  </si>
  <si>
    <t xml:space="preserve">Neonatal Mortality rates
Infant Mortality rates (global)
</t>
  </si>
  <si>
    <t>Neonatal Mortality rates
Infant Mortality rates 
Child Mortality rates  (global)</t>
  </si>
  <si>
    <t>Neonatal Mortality rates
Infant Mortality rates 
Child Mortality rates 
Under 5 Mortality rates  (global)</t>
  </si>
  <si>
    <t>Neonatal Mortality rates  (global)</t>
  </si>
  <si>
    <t>Neonatal number of deaths (global)
Infant number of deaths (global)
Child number of deaths  
Under 5 number of deaths (global)</t>
  </si>
  <si>
    <t>Neonatal number of deaths (global)</t>
  </si>
  <si>
    <t xml:space="preserve">Neonatal number of deaths (global)
Infant number of deaths (global)
Child number of deaths  </t>
  </si>
  <si>
    <t>Neonatal number of deaths (global)
Infant number of deaths (global)</t>
  </si>
  <si>
    <t>Mortality rates + Number of deaths (global) vertical bar</t>
  </si>
  <si>
    <t>Changes in causes of newborn deaths as neonatal mortality rates decline</t>
  </si>
  <si>
    <t>Changes in causes of under-5 deaths as under-5 mortality rates decline</t>
  </si>
  <si>
    <t>Proportional mortality for neonates and children under-5, 2021</t>
  </si>
  <si>
    <t>Proportion of under 5 deaths over time by cause and region</t>
  </si>
  <si>
    <t>vertical stacked bar chart of causes (global) neonatal</t>
  </si>
  <si>
    <t>vertical stacked bar chart of causes (global) neonatal mortality rate decline</t>
  </si>
  <si>
    <t>vertical stacked bar chart of causes (global) under 5 mortality rate decline</t>
  </si>
  <si>
    <t>vertical stacked bar chart of causes (global) neonatal mortality rate decline
+ vertical stacked bar chart of causes (global) under 5 mortality rate decline</t>
  </si>
  <si>
    <t xml:space="preserve"> vertical stacked bar chart of causes (global) under 5 mortality rate </t>
  </si>
  <si>
    <t>trendline by region</t>
  </si>
  <si>
    <t>trendline by region (+neonatal mortality + infant mortality)</t>
  </si>
  <si>
    <t>National guideline/policy/law requiring audit/review of maternal/perinatal death</t>
  </si>
  <si>
    <t>MISSING</t>
  </si>
  <si>
    <t>National guideline/policy/law requiring facility deaths to be notified within 24 hours</t>
  </si>
  <si>
    <t>National guideline/policy/law requiring non-facility deaths to be notified within 24 hours</t>
  </si>
  <si>
    <t>Low birthweight by region</t>
  </si>
  <si>
    <t>Anaemia in pregnant women, by region</t>
  </si>
  <si>
    <t>2024-11</t>
  </si>
  <si>
    <t>AnaemiaPW_region_Medians2015-2020.png</t>
  </si>
  <si>
    <t>Trends in coverage for maternal and newborn health</t>
  </si>
  <si>
    <t>bar graphs for 11 indicators</t>
  </si>
  <si>
    <t>Recent coverage for maternal and newborn health</t>
  </si>
  <si>
    <t>bar graphs for 11 indicators with scatter points</t>
  </si>
  <si>
    <t>mnh_riskfactors?</t>
  </si>
  <si>
    <t>Recent coverage for maternal and newborn health, by region</t>
  </si>
  <si>
    <t>bar graphs for 5 indicators with scatter points</t>
  </si>
  <si>
    <t xml:space="preserve">Most recent data for 101 countries 2010-2020 (DHS/MICS) - inequality calculated by difference between lowest coverage group and highest coverage group – split evenly into three groups (smallest, middle, largest). Y-axis order shown in order of lowest coverage group within each inequality tercile. 
Births attended by skilled health personnel (in the two or three years preceding the survey) (%) 
Percentage of live births attended during delivery by skilled health personnel. Skilled health personnel includes doctors, nurses, midwives and other medically trained personnel as defined according to each country. This is in line with the definition used by the Countdown to 2030 Collaboration, DHS, MICS and RHS. Numerator: Number of live births to women aged 15-49 years attended during delivery by skilled health personnel in the period prior to the survey. Denominator: Total number of live births to women aged 15-49 years occurring in the period prior to the survey. </t>
  </si>
  <si>
    <t>Wealth-based inequities in skilled care at birth</t>
  </si>
  <si>
    <t>2023-06</t>
  </si>
  <si>
    <t>checked source may 2024 – no updates since 2020</t>
  </si>
  <si>
    <t>Education-based inequities in skilled care at birth</t>
  </si>
  <si>
    <t xml:space="preserve">Most recent data for 104 countries 2010-2020 (DHS/MICS) - inequalities calculated by difference between lowest coverage group and highest coverage group – split evenly into three groups (smallest, middle, largest). Y-axis order shown in order of lowest coverage group within each inequality tercile. 
Births attended by skilled health personnel (in the two or three years preceding the survey) (%) 
Percentage of live births attended during delivery by skilled health personnel. Skilled health personnel includes doctors, nurses, midwives and other medically trained personnel as defined according to each country. This is in line with the definition used by the Countdown to 2030 Collaboration, DHS, MICS and RHS. Numerator: Number of live births to women aged 15-49 years attended during delivery by skilled health personnel in the period prior to the survey. Denominator: Total number of live births to women aged 15-49 years occurring in the period prior to the survey. </t>
  </si>
  <si>
    <t>Residence-based inequities in skilled care at birth</t>
  </si>
  <si>
    <t xml:space="preserve">Most recent data for 102 countries 2010-2020 (DHS/MICS) - inequality calculated by difference between lowest coverage group and highest coverage group – split evenly into three groups (smallest, middle, largest). Y-axis order shown in order of lowest coverage group within each inequality tercile. 
Births attended by skilled health personnel (in the two or three years preceding the survey) (%) 
Percentage of live births attended during delivery by skilled health personnel. Skilled health personnel includes doctors, nurses, midwives and other medically trained personnel as defined according to each country. This is in line with the definition used by the Countdown to 2030 Collaboration, DHS, MICS and RHS. Numerator: Number of live births to women aged 15-49 years attended during delivery by skilled health personnel in the period prior to the survey. Denominator: Total number of live births to women aged 15-49 years occurring in the period prior to the survey. </t>
  </si>
  <si>
    <t>Subnational inequities in skilled care at birth</t>
  </si>
  <si>
    <t>Wealth-based inequities in maternal postnatal care</t>
  </si>
  <si>
    <t xml:space="preserve">Most recent data for 2010-2022 (DHS/MICS) - inequality calculated by difference between lowest coverage group and highest coverage group – split evenly into three groups (smallest, middle, largest). Y-axis order shown in order of lowest coverage group within each inequality tercile. 
Percentage of women age 15-49 years who received a health check within 2 days after delivery of their most recent live birth in the last 2 years. </t>
  </si>
  <si>
    <t>Wealth-based inequities in newborn postnatal care</t>
  </si>
  <si>
    <t xml:space="preserve">Most recent data for 2010-2022 (DHS/MICS) - inequality calculated by difference between lowest coverage group and highest coverage group – split evenly into three groups (smallest, middle, largest). Y-axis order shown in order of lowest coverage group within each inequality tercile. 
Percentage of newborns (last live births) in the previous 2 years who received a health check within 2 days after delivery. </t>
  </si>
  <si>
    <t>Residence-based inequities in maternal postnatal care</t>
  </si>
  <si>
    <t>Residence-based inequities in newborn postnatal care</t>
  </si>
  <si>
    <t>Under-five mortality</t>
  </si>
  <si>
    <t>2025-04</t>
  </si>
  <si>
    <t>2024-04?</t>
  </si>
  <si>
    <t>1-59 month mortality</t>
  </si>
  <si>
    <t>Mortality rates + Number of deaths by age (global) vertical bar</t>
  </si>
  <si>
    <t>Global mortality rates by age, 2021</t>
  </si>
  <si>
    <t>Mortality rates by age (global) vertical bar</t>
  </si>
  <si>
    <t>Global deaths by age, 2021</t>
  </si>
  <si>
    <t>Mortality rates by age (global) vertical bars</t>
  </si>
  <si>
    <t>Global per cent (%) of total deaths for children under-5 years divided by neonatal (first 28 days) and post-neonatal (1 to 59 months)</t>
  </si>
  <si>
    <t>Pie</t>
  </si>
  <si>
    <t>WHO Maternal and Child Epidemiology Estimates Group (MCEE) 2019</t>
  </si>
  <si>
    <t>2023-09</t>
  </si>
  <si>
    <t>Compared to the global estimates, Africa has a higher proportion of postneonatal under 5 deaths in 2019-leading causes remain the same</t>
  </si>
  <si>
    <t>Pies</t>
  </si>
  <si>
    <t>WHO African region per cent (%) of total deaths for children under-5 years divided by neonatal (first 27 days) and postneonatal (1 to 59 months)</t>
  </si>
  <si>
    <t>WHO Americas region per cent (%) of total deaths for children under-5 years divided by neonatal (first 27 days) and postneonatal (1 to 59 months)</t>
  </si>
  <si>
    <t>WHO South-East Asian region per cent (%) of total deaths for children under-5 years divided by neonatal (first 27 days) and postneonatal (1 to 59 months)</t>
  </si>
  <si>
    <t>WHO European region per cent (%) of total deaths for children under-5 years divided by neonatal (first 27 days) and postneonatal (1 to 59 months)</t>
  </si>
  <si>
    <t>WHO Eastern Mediterranean region per cent (%) of total deaths for children under-5 years divided by neonatal (first 27 days) and postneonatal (1 to 59 months)</t>
  </si>
  <si>
    <t>WHO Western Pacific region per cent (%) of total deaths for children under-5 years divided by neonatal (first 27 days) and postneonatal (1 to 59 months)</t>
  </si>
  <si>
    <t>Infectious diseases of childhood remain the leading cause of death in the 54 countries needing to accelerate efforts towards meeting SDG survival targets for children under-5</t>
  </si>
  <si>
    <t>X-axis ordered by mortality rate in the 1 to 59 month age group.</t>
  </si>
  <si>
    <t>2022-02</t>
  </si>
  <si>
    <t>X-axis ordered by descending number of deaths in the 1 to 59 month age group.</t>
  </si>
  <si>
    <t>Distribution of under-5 deaths by region, 1990-2021</t>
  </si>
  <si>
    <t>59 countries are still off-track towards meeting the SDG target for under-5 mortality by 2030</t>
  </si>
  <si>
    <t>Decline in under-five mortality by income group</t>
  </si>
  <si>
    <t>Resolution 77/11</t>
  </si>
  <si>
    <t>Sustainable Development Goal Targets for maternal, newborn and child survival</t>
  </si>
  <si>
    <t>Maternal mortality ratio (MMR) estimates by country in 2020</t>
  </si>
  <si>
    <t>Trends in maternal mortality 2000 to 2020: estimates by WHO, UNICEF, UNFPA, World Bank Group and UNDESA/Population Division</t>
  </si>
  <si>
    <t>Newborn mortality rate (NMR) estimates by country in 2022</t>
  </si>
  <si>
    <t>IGME data Issue?</t>
  </si>
  <si>
    <t>GHE data issue?</t>
  </si>
  <si>
    <t>WHO Map issue?</t>
  </si>
  <si>
    <t>Child under-5 mortality rate (U5MR) estimates by country in 2022</t>
  </si>
  <si>
    <t>Changes in the annual average rate of mortality reduction over the periods 2000-2009 and 2010-2020 compared with the % reduction needed to achieve SDG and related targets by 2030 for Mothers, stillbirths, neonates and the postneonatal under-5 (1 to 59 months) population.</t>
  </si>
  <si>
    <t>UN IGME report 2023 and Maternal Mortality Estimation Group (MMEIG)</t>
  </si>
  <si>
    <t>Coverage of treatment for childhood illness</t>
  </si>
  <si>
    <t xml:space="preserve">Regions shown in alphabetical order. Bars represent the regional medians and the dots represent country estimates .
ORS - Percentage of children aged 0–59 months who had diarrhoea in the two weeks prior to the survey and received oral rehydration salts. Numerator: Number of children aged 0–59 months with diarrhoea in the two weeks prior to the survey receiving oral rehydration salts. Denominator: Total number of children aged 0–59 months with diarrhoea in the two weeks prior to the survey. 
Pneumonia - Percentage of children aged 0–59 months with pneumonia symptoms in the two weeks prior to the survey who were taken to a health facility or provider. Numerator: Number of children aged 0–59 months with pneumonia symptoms in the two weeks prior to the survey who were taken to an appropriate health provider. Denominator: Total number of children aged 0–59 months with pneumonia symptoms in the two weeks prior to the survey. </t>
  </si>
  <si>
    <t>UNICEF child health coverage database</t>
  </si>
  <si>
    <t>Wealth-based inequities in child treatment for diarrhoea (ORS)</t>
  </si>
  <si>
    <t xml:space="preserve">Most recent data for 85 countries 2010-2019 (DHS/MICS) - inequality calculated by difference between lowest coverage group and highest coverage group – split evenly into three groups (smallest, middle, largest). Y-axis order shown in order of lowest coverage group within each inequality tercile. 
Percentage of children aged 0–59 months who had diarrhoea in the two weeks prior to the survey and received oral rehydration salts. Numerator: Number of children aged 0–59 months with diarrhoea in the two weeks prior to the survey receiving oral rehydration salts. Denominator: Total number of children aged 0–59 months with diarrhoea in the two weeks prior to the survey. </t>
  </si>
  <si>
    <t>2022-01</t>
  </si>
  <si>
    <t>Jan 2022 (pevenk@who.int) – portal checked May 2024, no data past 2020 included</t>
  </si>
  <si>
    <t>Education-based inequities in child treatment for diarrhoea (ORS)</t>
  </si>
  <si>
    <t xml:space="preserve">Most recent data for 2010-2019 (DHS/MICS) - inequality calculated by difference between lowest coverage group and highest coverage group – split evenly into three groups (smallest, middle, largest). Y-axis order shown in order of lowest coverage group within each inequality tercile. 
Percentage of children aged 0–59 months who had diarrhoea in the two weeks prior to the survey and received oral rehydration salts. Numerator: Number of children aged 0–59 months with diarrhoea in the two weeks prior to the survey receiving oral rehydration salts. Denominator: Total number of children aged 0–59 months with diarrhoea in the two weeks prior to the survey. </t>
  </si>
  <si>
    <t>Residence-based inequities in child treatment for diarrhoea (ORS)</t>
  </si>
  <si>
    <t xml:space="preserve">Most recent data for 97 countries 2010-2019 (DHS/MICS) - inequality calculated by difference between lowest coverage group and highest coverage group – split evenly into three groups (smallest, middle, largest). Y-axis order shown in order of lowest coverage group within each inequality tercile. 
Percentage of children aged 0–59 months who had diarrhoea in the two weeks prior to the survey and received oral rehydration salts. Numerator: Number of children aged 0–59 months with diarrhoea in the two weeks prior to the survey receiving oral rehydration salts. Denominator: Total number of children aged 0–59 months with diarrhoea in the two weeks prior to the survey. </t>
  </si>
  <si>
    <t xml:space="preserve">Subnational inequities in child treatment for diarrhoea (ORS) </t>
  </si>
  <si>
    <t xml:space="preserve">Most recent data for 91 countries 2010-2019 (DHS/MICS) - inequality calculated by difference between lowest coverage group and highest coverage group – split evenly into three groups (smallest, middle, largest). Y-axis order shown in order of lowest coverage group within each inequality tercile. 
Percentage of children aged 0–59 months who had diarrhoea in the two weeks prior to the survey and received oral rehydration salts. Numerator: Number of children aged 0–59 months with diarrhoea in the two weeks prior to the survey receiving oral rehydration salts. Denominator: Total number of children aged 0–59 months with diarrhoea in the two weeks prior to the survey. </t>
  </si>
  <si>
    <t>Wealth-based inequities in child treatment for pneumonia symptoms</t>
  </si>
  <si>
    <t xml:space="preserve">Most recent data for 76 countries 2010-2019 (DHS/MICS) - inequality calculated by difference between lowest coverage group and highest coverage group – split evenly into three groups (smallest, middle, largest). Y-axis order shown in order of lowest coverage group within each inequality tercile. 
Percentage of children aged 0–59 months with pneumonia symptoms in the two weeks prior to the survey who were taken to a health facility. Numerator: Number of children aged 0–59 months with pneumonia symptoms in the two weeks prior to the survey who were taken to an appropriate health provider. Denominator: Total number of children aged 0–59 months with pneumonia symptoms in the two weeks prior to the survey. </t>
  </si>
  <si>
    <t>Education-based inequities in child treatment for pneumonia symptoms</t>
  </si>
  <si>
    <t xml:space="preserve">Most recent data for 94 countries 2010-2019 (DHS/MICS) - inequality calculated by difference between lowest coverage group and highest coverage group – split evenly into three groups (smallest, middle, largest). Y-axis order shown in order of lowest coverage group within each inequality tercile. 
Percentage of children aged 0–59 months with pneumonia symptoms in the two weeks prior to the survey who were taken to a health facility. Numerator: Number of children aged 0–59 months with pneumonia symptoms in the two weeks prior to the survey who were taken to an appropriate health provider. Denominator: Total number of children aged 0–59 months with pneumonia symptoms in the two weeks prior to the survey. </t>
  </si>
  <si>
    <t xml:space="preserve">Residence-based inequities in child treatment for pneumonia symptoms </t>
  </si>
  <si>
    <t>Subnational inequities in child treatment for pneumonia symptoms</t>
  </si>
  <si>
    <t xml:space="preserve">Most recent data for 83 countries 2010-2019 (DHS/MICS) - inequality calculated by difference between lowest coverage group and highest coverage group – split evenly into three groups (smallest, middle, largest). Y-axis order shown in order of lowest coverage group within each inequality tercile. 
Percentage of children aged 0–59 months with pneumonia symptoms in the two weeks prior to the survey who were taken to a health facility. Numerator: Number of children aged 0–59 months with pneumonia symptoms in the two weeks prior to the survey who were taken to an appropriate health provider. Denominator: Total number of children aged 0–59 months with pneumonia symptoms in the two weeks prior to the survey. </t>
  </si>
  <si>
    <t>All-cause mortality rates</t>
  </si>
  <si>
    <t>Global, by sex and age, 2000-2021</t>
  </si>
  <si>
    <t>Global Health Estimates (GHE)</t>
  </si>
  <si>
    <t>Top five causes of mortality</t>
  </si>
  <si>
    <t>Global, By age and sex, 2021</t>
  </si>
  <si>
    <t>Trends in main causes of mortality</t>
  </si>
  <si>
    <t>Global, for males age 10-14, 2007-2021</t>
  </si>
  <si>
    <t>Global, for males age 15-19, 2007-2021</t>
  </si>
  <si>
    <t>Global, for females age 10-14, 2007-2021</t>
  </si>
  <si>
    <t>Global, for females age 15-19, 2007-2021</t>
  </si>
  <si>
    <t>By age and region, 2000-2021</t>
  </si>
  <si>
    <t>For males, by age and region, 2021</t>
  </si>
  <si>
    <t>For females, by age and region, 2021</t>
  </si>
  <si>
    <t>For males age 10-14, by region, 2010-2021</t>
  </si>
  <si>
    <t>For males age 15-19, by region, 2010-2021</t>
  </si>
  <si>
    <t>For females age 10-14, by region, 2010-2021</t>
  </si>
  <si>
    <t>For females age 15-19, by region, 2010-2021</t>
  </si>
  <si>
    <t>By age and income group, 2000-2021</t>
  </si>
  <si>
    <t>For males, by age and income group, 2021</t>
  </si>
  <si>
    <t>For females, by age and income group, 2021</t>
  </si>
  <si>
    <t>For males age 10-14, by income group, 2010-2021</t>
  </si>
  <si>
    <t>For males age 15-19, by income group, 2010-2021</t>
  </si>
  <si>
    <t>For females age 10-14, by income group, 2010-2021</t>
  </si>
  <si>
    <t>For females age 15-19, by income group, 2010-2021</t>
  </si>
  <si>
    <t>Percentage of total population aged 60 years or over, 2023</t>
  </si>
  <si>
    <t>2024-06</t>
  </si>
  <si>
    <t>2026-07</t>
  </si>
  <si>
    <t>Needs WHO map.
Needs UNPD WPP citation.</t>
  </si>
  <si>
    <t>Percentage of total population aged 60 years or over, 2050</t>
  </si>
  <si>
    <t>Percentage of total population aged 60 years or over, 2030</t>
  </si>
  <si>
    <t>Trends in percent of population aged 60+ years</t>
  </si>
  <si>
    <t>Grey lines show all countries in region with available data; green colour highlights highest percent in each region in 2023; trends projected to 2023-2050</t>
  </si>
  <si>
    <t>UN Population Division’s World Population Prospects 2024</t>
  </si>
  <si>
    <t>Percent of population 60+ years, 2023</t>
  </si>
  <si>
    <t>By region and sex, ordered by increasing percent of population age 60+</t>
  </si>
  <si>
    <t>Percent of population 80+ years, 2023</t>
  </si>
  <si>
    <t>By region and sex, ordered by increasing percent of population age 80+</t>
  </si>
  <si>
    <t>By income group and sex, ordered by increasing percent of population age 60+</t>
  </si>
  <si>
    <t>By income group and sex, ordered by increasing percent of population age 80+</t>
  </si>
  <si>
    <t>Healthy life expectancy at age 60 years, 2019</t>
  </si>
  <si>
    <t>Map
Average number of years that a person can expect to live in "full health" by taking into account years lived in less than full health due to disease and/or injury. (The equivalent lost healthy year fractions required for the HALE calculation are estimated as the all-cause years lost due to disability (YLD) rate per capita, adjusted for independent comorbidity, by age, sex and country. Sullivan's method uses the equivalent lost healthy year fraction (adjusted for comorbidity) at each age in the current population (for a given year) to divide the hypothetical years of life lived by a period life table cohort at different ages into years of equivalent full health and equivalent lost healthy years)</t>
  </si>
  <si>
    <t>Other data issue?</t>
  </si>
  <si>
    <t>age_hale60.aprx</t>
  </si>
  <si>
    <t>AGE_HALE60.csv</t>
  </si>
  <si>
    <t>ArcGIS/</t>
  </si>
  <si>
    <t>TRUE?</t>
  </si>
  <si>
    <t>unigme_2021_mortrates.csv</t>
  </si>
  <si>
    <t>adol_cause_maps.csv</t>
  </si>
  <si>
    <t>mpdsr_arcgis.csv</t>
  </si>
  <si>
    <t>AGE_OVER60PCT.csv</t>
  </si>
  <si>
    <t>AGE_OVER60PCT20302050.csv</t>
  </si>
  <si>
    <t>age_obesity_2016.csv</t>
  </si>
  <si>
    <t>aging?</t>
  </si>
  <si>
    <t>2021-12</t>
  </si>
  <si>
    <t>Dec 2021 (pevenk@who.int) – checked June 2024 – no updated HALE data</t>
  </si>
  <si>
    <t>Ordered by ascending years of healthy life expectancy at 60, colour represents region. 
Average number of years that a person can expect to live in "full health" by taking into account years lived in less than full health due to disease and/or injury. (The equivalent lost healthy year fractions required for the HALE calculation are estimated as the all-cause years lost due to disability (YLD) rate per capita, adjusted for independent comorbidity, by age, sex and country. Sullivan's method uses the equivalent lost healthy year fraction (adjusted for comorbidity) at each age in the current population (for a given year) to divide the hypothetical years of life lived by a period life table cohort at different ages into years of equivalent full health and equivalent lost healthy years)</t>
  </si>
  <si>
    <t>Life expectancy at 60 years, 2019</t>
  </si>
  <si>
    <t>Healthy life expectancy shown in blue, life expectancy shown in orange. Regions shown alphabetically. Female on left, male on right. 
Average number of years that a person can expect to live in "full health" by taking into account years lived in less than full health due to disease and/or injury. (The equivalent lost healthy year fractions required for the HALE calculation are estimated as the all-cause years lost due to disability (YLD) rate per capita, adjusted for independent comorbidity, by age, sex and country. Sullivan's method uses the equivalent lost healthy year fraction (adjusted for comorbidity) at each age in the current population (for a given year) to divide the hypothetical years of life lived by a period life table cohort at different ages into years of equivalent full health and equivalent lost healthy years)</t>
  </si>
  <si>
    <t>Healthy life expectancy shown in blue, life expectancy shown in orange. Female on left, male on right.
Average number of years that a person can expect to live in "full health" by taking into account years lived in less than full health due to disease and/or injury. (The equivalent lost healthy year fractions required for the HALE calculation are estimated as the all-cause years lost due to disability (YLD) rate per capita, adjusted for independent comorbidity, by age, sex and country. Sullivan's method uses the equivalent lost healthy year fraction (adjusted for comorbidity) at each age in the current population (for a given year) to divide the hypothetical years of life lived by a period life table cohort at different ages into years of equivalent full health and equivalent lost healthy years)</t>
  </si>
  <si>
    <t>Trends in cause of death for adults 60 years+</t>
  </si>
  <si>
    <t>Top 10 causes for 2000 and 2021 (simplified version)</t>
  </si>
  <si>
    <t>Top 10 causes shown for 2000 and 2021 by income group; purple/square shows noncommunicable diseases and green/circle shows communicable</t>
  </si>
  <si>
    <t>Trends in cause of years of healthy life lost due to disability for adults 60 years+</t>
  </si>
  <si>
    <t xml:space="preserve">Top 10 causes shown for 2000 and 2021. </t>
  </si>
  <si>
    <t xml:space="preserve">Top 10 causes shown for 2000 and 2021. purple/square shows noncommunicable diseases , orange/triangle shows injuries </t>
  </si>
  <si>
    <t>Ageing – care and common conditions</t>
  </si>
  <si>
    <t>Mean body mass index, females over 60 years, 2016</t>
  </si>
  <si>
    <t>Map
BMI cut offs: &lt;18.5 is underweight; 18.5-24 is healthy range; 25-29 is overweight; 30+ is obesity range</t>
  </si>
  <si>
    <t>age_bmi.aprx</t>
  </si>
  <si>
    <t>NCD Risk Factor Collaboration (NCD-RisC) 2017</t>
  </si>
  <si>
    <t>Dec 2021 (pevenk@who.int) – checked portal June 2024, no data more recent than 2016</t>
  </si>
  <si>
    <t>Mean body mass index, males over 60 years, 2016</t>
  </si>
  <si>
    <t>Mean body mass index, over 60 years, 2016</t>
  </si>
  <si>
    <t>3 maps share the same file, even though they don't look the same.  Also, that file is not present in GitHub.
Dec 2021 (pevenk@who.int) – checked portal June 2024, no data more recent than 2016</t>
  </si>
  <si>
    <t>Prevalence of insufficient physical activity in older people aged 70 or over, 2016</t>
  </si>
  <si>
    <t>Percent of defined population attaining less than 150 minutes of moderate-intensity physical activity per week, or less than 75 minutes of vigorous-intensity physical activity per week, or equivalent. All data from 2016. Regions shown in alphabetical order.</t>
  </si>
  <si>
    <t>GPAQ (Global Physical Activity Questionnaire), IPAQ (International Physical Activity Questionnaire)</t>
  </si>
  <si>
    <t>Adolescent Regional morbidity/mortality</t>
  </si>
  <si>
    <t>Adolescent Income grp morbidity/mortality</t>
  </si>
  <si>
    <t>Percentage of people 80+ receiving long-term care at a residential care facility and at home, 2010-2022</t>
  </si>
  <si>
    <t>Percent at home shown on top in darker blue, institution shown in lighter blue on the bottom, ordered by ascending sum of home and institution</t>
  </si>
  <si>
    <t>OECD Health Statistics</t>
  </si>
  <si>
    <t>Percentage of people receiving long-term care at a residential care facility and at home, 2010-2021</t>
  </si>
  <si>
    <t xml:space="preserve">Incidence rate of falls in older people, 2019 </t>
  </si>
  <si>
    <t xml:space="preserve">Regions shown in alphabetical order. Each dot represents an age group within a country.
Incidence of falls that lead to any form of medical care (inpatient or outpatient). Falls include dropping from a standing position, or from exposed positions such as those on ladders or stepladders, including unspecified falls.  </t>
  </si>
  <si>
    <t>Global Burden of Disease 2019</t>
  </si>
  <si>
    <t>Dec 2021 (pevenk@who.int) – checked portal June 2024, latest data still 2019</t>
  </si>
  <si>
    <t>Prevalence of lower back pain in older people, 2019</t>
  </si>
  <si>
    <t xml:space="preserve">Regions shown in alphabetical order. Each dot represents an age group within a country. </t>
  </si>
  <si>
    <t xml:space="preserve">Crude prevalence of ageist attitude in the population, 2014 </t>
  </si>
  <si>
    <t xml:space="preserve">Prevalence estimates of low, moderate and high ageist attitude in population aged 20 years and over. Country order by ascending percent of “low” ageist attitude. Regions ordered by mean (unweighted) percent of low ageist attitude. 
WHO has performed Multilevel latent class analysis (MLCA) incrementally to extract homogeneous latent classes of individuals based on their responses to nine ageism items (World Values Survey questions). Based on the distribution of individual-level latent classes within countries, distinct latent classes of countries were identified to classify countries as low, moderate and highly ageist. More details here: https://www.ncbi.nlm.nih.gov/pmc/articles/PMC7246680/#app1-ijerph-17-03159 </t>
  </si>
  <si>
    <t>World Values Survey (WVS), Wave 6 (2010-2014)</t>
  </si>
  <si>
    <t>Dec 2021 (pevenk@who.int) – checked portal June 2024, latest data still 2014</t>
  </si>
  <si>
    <t>Proportion of older adults experienced any type of abuse, 2015</t>
  </si>
  <si>
    <t xml:space="preserve">Regions in ascending order of abuse, 51 studies included total </t>
  </si>
  <si>
    <t>Yon et al, 2107 The Lancet Global Health</t>
  </si>
  <si>
    <t>Dec 2021 (pevenk@who.int) – checked portal June 2024, latest data still 2015</t>
  </si>
  <si>
    <t>Household living arrangements of people 60+, 2010-2021</t>
  </si>
  <si>
    <t>Latest year of data available between 2010-2021, countries ordered within region by ascending percent living alone, regions ordered by mean percent living alone (not weighted)</t>
  </si>
  <si>
    <t>United Nations, Department of Economic and Social Affairs, Population Division (2019).  
Database on the Households and Living Arrangements of Older Persons 2019</t>
  </si>
  <si>
    <t>June 2023 (pevenk@who.int) – latest data from undesa still 2022</t>
  </si>
  <si>
    <t>Household living arrangements of people 80+, 2010-2021</t>
  </si>
  <si>
    <t>Labour force participation rate by people age 65 and older, 2015-2023</t>
  </si>
  <si>
    <t>Latest estimate for each country between 2015-2023. Regions shown in alphabetical order.</t>
  </si>
  <si>
    <t>ILOSTAT</t>
  </si>
  <si>
    <t>Other</t>
  </si>
  <si>
    <t>Manually taken from IGME figure, so not impacted by MCA error.
percentagedeaths_igme2023est_0to5.png is used in two slides but it is ok.</t>
  </si>
  <si>
    <t>Manually taken from IGME figure, so not impacted by MCA error.
deathsper1000_igme2023est_0to5.png is used in two slides, but it is ok.</t>
  </si>
  <si>
    <t>Data came directly from IGME, so not impacted by MCA error.
The png is used twice, but this one feels like it is the correct one.</t>
  </si>
  <si>
    <t>The png is used twice, but this one feels like it is the correct one.</t>
  </si>
  <si>
    <t>Don't have the report file. But it is this: https://childmortality.org/wp-content/uploads/2024/03/UNIGME-2023-Child-Mortality-Report.pdf
Added it to github
Manually drawn from UNIGME report and generates PNGs:
deathsper1000_igme2023est_0to5.png
percentagedeaths_igme2023est_0to5.png</t>
  </si>
  <si>
    <t>Used in slides?
(manually entered)</t>
  </si>
  <si>
    <t>Used in PNGs?</t>
  </si>
  <si>
    <t>for arcgis.  Not present.
Creates ArcGIS/unigme_2021_mortrates.csv</t>
  </si>
  <si>
    <t>mnh_riskfactors
,mat-newb-coverage-old</t>
  </si>
  <si>
    <t>We should be using the most recent WPP data</t>
  </si>
  <si>
    <t>Was generated but not used in slides?</t>
  </si>
  <si>
    <t>We should be using the most recent WPP data
Was generated but not used in slides?</t>
  </si>
  <si>
    <t>Referenced in slides, but not present anywhere else.</t>
  </si>
  <si>
    <t>R code generates AnaemiaPW_region_popwtMean2015-2019.png and all the code in that area uses "2019" as year, but the slide shows "2020" and references "AnaemiaPW_region_Medians2015-2020.png". So it seems like code and slide and png are somehow out of synch.
Also, this seems to be using WPP 2019 population data instead of most recent.</t>
  </si>
  <si>
    <t>Report</t>
  </si>
  <si>
    <t>Why this one? And not https://data.who.int/indicators/i/C071DCB/AC597B1 or https://platform.who.int/data/maternal-newborn-child-adolescent-ageing/indicator-explorer-new/MCA/maternal-mortality-ratio-(per-100-000-live-births)
GERARD TODO: Compare</t>
  </si>
  <si>
    <t>WHO Global Health Observatory – Health Equity Monitor Database</t>
  </si>
  <si>
    <t>WHO Global Health Observatory</t>
  </si>
  <si>
    <t>Source: WHO, UNAIDS, UNICEF, UNPD, USAID
Source: WHO Global Health Observatory_x000B_* Antenatal care coverage - at least four visits (%)_x000B_* Proportion of births attended by skilled health personnel (SDG 3.1.2)_x000B_* Proportion of women accessing antenatal care services who were tested for syphilis_x000B_
Source: UNAIDS_x000B_* Estimated pregnant women living with HIV who received antiretroviral medicine for preventing mother-to-child transmission (%)_x000B_
Source: UNICEF_x000B_* Care-seeking for children with symptoms of acute respiratory infection (%)_x000B_* Proportion of children under five years old with diarrhoea receiving oral rehydration salts_x000B_* Proportion of children under five years old with diarrhoea receiving oral rehydration salts and Zinc_x000B_* Proportion of infants 0–5 months of age who are fed exclusively with breast milk_x000B_* Proportion of mothers who had postnatal contact with a health provider within 2 days of delivery_x000B_* Proportion of newborns put to the breast within one hour of birth_x000B_* Proportion of newborns who had postnatal contact with a health provider within 2 days of delivery_x000B_
Source: UNPD World Population Prospects _x000B_* Proportion of women of reproductive age (aged 15-49 years) who have their need for family planning satisfied with modern methods (SDG 3.7.1)_x000B_
Source: USAID DHS Program STATcompiler
* Proportion of women with a live birth who received iron tablets or syrup during antenatal care_x000B_
Source: WHO/UNICEF Estimates of National Immunization Coverage (WUENIC)_x000B_* Diphtheria tetanus toxoid and pertussis (DTP3) immunization coverage among 1-year-olds (%)_x000B_* Measles-containing-vaccine second-dose (MCV2) immunization coverage by the nationally recommended age (%)_x000B_* Neonates protected at birth against neonatal tetanus (%)</t>
  </si>
  <si>
    <t>UNIGME 2023</t>
  </si>
  <si>
    <t>UN Population Division’s World Population Prospects</t>
  </si>
  <si>
    <t>IGME problem?</t>
  </si>
  <si>
    <t>GHE problem?</t>
  </si>
  <si>
    <t>Fixed, waiting for Regina</t>
  </si>
  <si>
    <t>Slide Code
(new)</t>
  </si>
  <si>
    <t>TITLE</t>
  </si>
  <si>
    <t>MAT-MORTALITY-GLOBAL-MMR-MAP</t>
  </si>
  <si>
    <t>MAT-MORTALITY-GLOBAL-DEATHS-TREND</t>
  </si>
  <si>
    <t>MAT-MORTALITY-GLOBAL-MMR&amp;DEATHS-TREND</t>
  </si>
  <si>
    <t>MAT-MORTALITY-GLOBAL-MMR-TREND</t>
  </si>
  <si>
    <t>MAT-MORTALITY-WHOREGION-MMR-TREND</t>
  </si>
  <si>
    <t>MAT-MORTALITY-WBINCOME-MMR-TREND</t>
  </si>
  <si>
    <t>MAT-MORTALITY-GLOBAL-COD-VERTSTACK</t>
  </si>
  <si>
    <t>MAT-MORTALITY-GLOBAL-COD-PIE</t>
  </si>
  <si>
    <t>MAT-STILBIRTH-NA-TITLE-TEXT</t>
  </si>
  <si>
    <t>MAT-MORTALITY-NA-TITLE-TEXT</t>
  </si>
  <si>
    <t>NEW-MORTALITY-NA-TITLE-TEXT</t>
  </si>
  <si>
    <t>MAT-STILBIRTH-GLOBAL-NUMBER&amp;RATE-TREND</t>
  </si>
  <si>
    <t>MAT-STILBIRTH-GLOBAL-RATE_NEONATAL_STILLBIRTH-TREND</t>
  </si>
  <si>
    <t>MAT-STILBIRTH-NA-DEFINITIONS-INFO</t>
  </si>
  <si>
    <t>MAT-STILBIRTH-GLOBAL-LOCATION-MAP</t>
  </si>
  <si>
    <t>MAT-STILBIRTH-GLOBAL-TIMING-MAP</t>
  </si>
  <si>
    <t>MAT-STILBIRTH-NA-REQUIREMENTS_ENDING-INFO</t>
  </si>
  <si>
    <t>MAT-STILBIRTH-GLOBAL-TRENDS-MAP</t>
  </si>
  <si>
    <t>NEW-MORTALITY-GLOBAL-NMR-MAP</t>
  </si>
  <si>
    <t>NEW-MORTALITY-GLOBAL-NMR&amp;DEATHS-TREND</t>
  </si>
  <si>
    <t>NEW-MORTALITY-GLOBAL-RATE&amp;DEATHS_NMR&amp;IMR-TREND</t>
  </si>
  <si>
    <t>NEW-MORTALITY-GLOBAL-RATE&amp;DEATHS_NMR&amp;IMR&amp;CMR-TREND</t>
  </si>
  <si>
    <t>NEW-MORTALITY-GLOBAL-RATE&amp;DEATHS_NMR&amp;IMR&amp;CMR&amp;U5MR-TREND</t>
  </si>
  <si>
    <t>NEW-MORTALITY-GLOBAL-RATE_NMR-TREND</t>
  </si>
  <si>
    <t>NEW-MORTALITY-GLOBAL-RATE_NMR&amp;IMR-TREND</t>
  </si>
  <si>
    <t>NEW-MORTALITY-GLOBAL-RATE_NMR&amp;IMR&amp;CMR-TREND</t>
  </si>
  <si>
    <t>NEW-MORTALITY-GLOBAL-RATE_NMR&amp;IMR&amp;CMR&amp;U5MR-TREND</t>
  </si>
  <si>
    <t>NEW-MORTALITY-GLOBAL-DEATHS_NEO-TREND</t>
  </si>
  <si>
    <t>NEW-MORTALITY-GLOBAL-DEATHS_NEO&amp;INF-TREND</t>
  </si>
  <si>
    <t>NEW-MORTALITY-GLOBAL-DEATHS_NEO&amp;INF&amp;CHILD-TREND</t>
  </si>
  <si>
    <t>NEW-MORTALITY-GLOBAL-DEATHS_NEO&amp;INF&amp;CHILD&amp;U5-TREND</t>
  </si>
  <si>
    <t>NEW-MORTALITY-GLOBAL-RATES&amp;DEATHS_NEO&amp;INF&amp;CHILD&amp;U5-BAR</t>
  </si>
  <si>
    <t>NEW-MORTALITY-GLOBAL-COD_NEO-VERTSTACK</t>
  </si>
  <si>
    <t>NEW-MORTALITY-GLOBAL-COD_NEO-VERTSTACK-PIE</t>
  </si>
  <si>
    <t>NEW-MORTALITY-MORT-CODCHANGE_NEO-VERTSTACK</t>
  </si>
  <si>
    <t>NEW-MORTALITY-MORT-CODCHANGE_U5-VERTSTACK</t>
  </si>
  <si>
    <t>NEW-MORTALITY-MORT-PROPMORT_NEO&amp;U5-VERTSTACK</t>
  </si>
  <si>
    <t>NEW-MORTALITY-WHOREGION-PROPMORT_NEO&amp;U5-VERTSTACK</t>
  </si>
  <si>
    <t>NEW-MORTALITY-WHOREGION-RATE_NEO-TREND</t>
  </si>
  <si>
    <t>NEW-MORTALITY-WHOREGION-RATE_INF-TREND</t>
  </si>
  <si>
    <t>NEW-MORTALITY-WHOREGION-RATE_U5-TREND</t>
  </si>
  <si>
    <t>NEW-MORTALITY-WHOREGION-RATE_NEO&amp;INF&amp;U5-TREND</t>
  </si>
  <si>
    <t>MIX-MPDSR-NA-TITLE-TEXT</t>
  </si>
  <si>
    <t>MIX-MPDSR-GLOBAL-REVIEW_POLICY-MAP</t>
  </si>
  <si>
    <t>MIX-MPDSR-GLOBAL-NOTIFICATION_FACILITY_POLICY-MAP</t>
  </si>
  <si>
    <t>MIX-MPDSR-GLOBAL-NOTIFICATION_NONFACILITY_POLICY-MAP</t>
  </si>
  <si>
    <t>MIX-RISKFACTORS-WHOREGION-LBW-BARSCAT</t>
  </si>
  <si>
    <t>MIX-RISKFACTORS-NA-TITLE-TEXT</t>
  </si>
  <si>
    <t>MIX-RISKFACTORS-WHOREGION-ANAEMIA-BARSCAT</t>
  </si>
  <si>
    <t>MIX-MNHCOVERAGE-NA-TITLE-TEXT</t>
  </si>
  <si>
    <t xml:space="preserve">  </t>
  </si>
  <si>
    <t>Redirecting to 2023 WHO SRMNCAH policy survey_all_ek_vJan2025.pptx</t>
  </si>
  <si>
    <t>RESOLVED</t>
  </si>
  <si>
    <t>ArcGIS - not updated</t>
  </si>
  <si>
    <t>MIX-MNHCOVERAGE-GLOBAL-TRENDS_FPMM&amp;ANC4&amp;TETANUS&amp;SYPH&amp;IRON&amp;SAB&amp;EARLYFEED&amp;PNC&amp;DTP3&amp;MCV2-BAR</t>
  </si>
  <si>
    <t>MIX-MNHCOVERAGE-GLOBAL-RECENT_FPMM&amp;ANC4&amp;TETANUS&amp;SYPH&amp;IRON&amp;SAB&amp;EARLYFEED&amp;PNC&amp;DTP3&amp;MCV2-BAR</t>
  </si>
  <si>
    <t>MIX-MNHCOVERAGE-WHOREGION-RECENT_FPMM&amp;ANC4&amp;TETANUS&amp;SYPH&amp;IRON&amp;SAB&amp;EARLYFEED&amp;PNC&amp;DTP3&amp;MCV2-BAR</t>
  </si>
  <si>
    <t>MIX-MNHCOVERAGE-COUNTRY_INEQUAL-SAB&amp;EDUCATION-ABACUS</t>
  </si>
  <si>
    <t>MIX-MNHCOVERAGE-COUNTRY_INEQUAL-SAB&amp;WEALTH-ABACUS</t>
  </si>
  <si>
    <t>MIX-MNHCOVERAGE-COUNTRY_INEQUAL-SAB&amp;SUBNATIONAL-ABACUS</t>
  </si>
  <si>
    <t>MIX-MNHCOVERAGE-COUNTRY_INEQUAL-SAB&amp;RESIDE-ABACUS</t>
  </si>
  <si>
    <t>MIX-MNHCOVERAGE-COUNTRY_INEQUAL-PNCMOM&amp;WEALTH-ABACUS</t>
  </si>
  <si>
    <t>MIX-MNHCOVERAGE-COUNTRY_INEQUAL-PNCMOM&amp;EDUCATION-ABACUS</t>
  </si>
  <si>
    <t>MIX-MNHCOVERAGE-COUNTRY_INEQUAL-PNCMOM&amp;RESIDE-ABACUS</t>
  </si>
  <si>
    <t>CHI-MORTALITY-NA-TITLE-TEXT</t>
  </si>
  <si>
    <t>CHI-MORTALITY-GLOBAL-RATE_U5-MAP</t>
  </si>
  <si>
    <t>CHI-MORTALITY-GLOBAL-RATE_1_59MONTHS-MAP</t>
  </si>
  <si>
    <t>CHI-MORTALITY-GLOBAL-RATE_0_24YEARS-BAR</t>
  </si>
  <si>
    <t>CHI-MORTALITY-GLOBAL-DEATHS_0_24YEARS-VERTSTACK</t>
  </si>
  <si>
    <t>CHI-MORTALITY-GLOBAL-RATE&amp;DEATHS_0_24YEARS-BAR&amp;VERTSTACK</t>
  </si>
  <si>
    <t>CHI-MORTALITY-GLOBAL-RATE&amp;DEATHS_NEO&amp;INF&amp;CHILD&amp;U5-BAR&amp;VERTSTACK</t>
  </si>
  <si>
    <t>CHI-MORTALITY-GLOBAL-COD_NEO&amp;U5-PIE</t>
  </si>
  <si>
    <t>CHI-MORTALITY-GLOBAL&amp;WHOREGION_AFRO-COD_NEO&amp;POSTNEO-PIE</t>
  </si>
  <si>
    <t>CHI-MORTALITY-GLOBAL&amp;WHOREGION_AFRO-COD_NEO-PIE</t>
  </si>
  <si>
    <t>CHI-MORTALITY-GLOBAL&amp;WHOREGION_PAHO-COD_NEO&amp;POSTNEO-PIE</t>
  </si>
  <si>
    <t>CHI-MORTALITY-GLOBAL&amp;WHOREGION_SEARO-COD_NEO&amp;POSTNEO-PIE</t>
  </si>
  <si>
    <t>CHI-MORTALITY-GLOBAL&amp;WHOREGION_EURO-COD_NEO&amp;POSTNEO-PIE</t>
  </si>
  <si>
    <t>CHI-MORTALITY-GLOBAL&amp;WHOREGION_EMRO-COD_NEO&amp;POSTNEO-PIE</t>
  </si>
  <si>
    <t>CHI-MORTALITY-GLOBAL&amp;WHOREGION_WPRO-COD_NEO&amp;POSTNEO-PIE</t>
  </si>
  <si>
    <t>CHI-MORTALITY-COUNTRY-RATE_COD_U5-VERTSTACK</t>
  </si>
  <si>
    <t>CHI-MORTALITY-COUNTRY-DEATHS_COD_U5-VERTSTACK</t>
  </si>
  <si>
    <t>CHI-MORTALITY-SDGREGION-DEATHS_U5-VERTSTACK</t>
  </si>
  <si>
    <t>CHI-MORTALITY-SDGREGION-RATE_U5MR-BAR</t>
  </si>
  <si>
    <t>CHI-MORTALITY-WBINCOME-RATEDECLINE_U5MR-BUBBLE</t>
  </si>
  <si>
    <t>CHI-MORTALITY-NA-RESOLUTION_77_11-TEXT</t>
  </si>
  <si>
    <t>CHI-MORTALITY-NA-SDG_TARGETS-TEXT</t>
  </si>
  <si>
    <t>CHI-MORTALITY-GLOBAL-MMR-MAP</t>
  </si>
  <si>
    <t>CHI-MORTALITY-GLOBAL-NMR-MAP</t>
  </si>
  <si>
    <t>CHI-MORTALITY-GLOBAL-U5MR-MAP</t>
  </si>
  <si>
    <t>CHI-MORTALITY-GLOBAL-RATE_MMR&amp;STILL&amp;NMR&amp;U5MR-BAR</t>
  </si>
  <si>
    <t>CHI-COVERAGE-NA-TITLE-TEXT</t>
  </si>
  <si>
    <t>CHI-COVERAGE-WHOREGION-ORS&amp;PNEUMONIACARE-BARSCATTER</t>
  </si>
  <si>
    <t>CHI-COVERAGE-COUNTRY_INEQUAL-ORS&amp;WEALTH-ABACUS</t>
  </si>
  <si>
    <t>CHI-COVERAGE-COUNTRY_INEQUAL-ORS&amp;EDUCATION-ABACUS</t>
  </si>
  <si>
    <t>CHI-COVERAGE-COUNTRY_INEQUAL-ORS&amp;SUBNATIONAL-ABACUS</t>
  </si>
  <si>
    <t>CHI-COVERAGE-COUNTRY_INEQUAL-ORS&amp;RESIDE-ABACUS</t>
  </si>
  <si>
    <t>CHI-COVERAGE-COUNTRY_INEQUAL-PNEUMONIACARE&amp;EDUCATION-ABACUS</t>
  </si>
  <si>
    <t>CHI-COVERAGE-COUNTRY_INEQUAL-PNEUMONIACARE&amp;RESIDE-ABACUS</t>
  </si>
  <si>
    <t>CHI-COVERAGE-COUNTRY_INEQUAL-PNEUMONIACARE&amp;SUBNATIONAL-ABACUS</t>
  </si>
  <si>
    <t>CHI-COVERAGE-COUNTRY_INEQUAL-PNEUMONIACARE&amp;WEALTH-ABACUS</t>
  </si>
  <si>
    <t>ADO-MORTALITY-GLOBAL-RATE_AGE_SEX-TREND</t>
  </si>
  <si>
    <t>ADO-MORTALITY-GLOBAL-RATE_AGE_SEX-BAR</t>
  </si>
  <si>
    <t>ADO-MORTALITY-GLOBAL-RATE_CAUSE_MALE_10_14-TREND</t>
  </si>
  <si>
    <t>ADO-MORTALITY-GLOBAL-RATE_CAUSE_MALE_15_19-TREND</t>
  </si>
  <si>
    <t>ADO-MORTALITY-GLOBAL-RATE_CAUSE_FEMALE_10_14-TREND</t>
  </si>
  <si>
    <t>ADO-MORTALITY-GLOBAL-RATE_CAUSE_FEMALE_15_19-TREND</t>
  </si>
  <si>
    <t>ADO-MORTALITY-GLOBAL-TITLE-TEXT</t>
  </si>
  <si>
    <t>ADO-MORTALITY-WHOREGION-TITLE-TEXT</t>
  </si>
  <si>
    <t>ADO-MORTALITY-WHOREGION-RATE_AGE_SEX-TREND</t>
  </si>
  <si>
    <t>ADO-MORTALITY-WHOREGION-RATE_CAUSE_MALE_10_14-TREND</t>
  </si>
  <si>
    <t>ADO-MORTALITY-WHOREGION-RATE_CAUSE_MALE_15_19-TREND</t>
  </si>
  <si>
    <t>ADO-MORTALITY-WHOREGION-RATE_CAUSE_FEMALE_10_14-TREND</t>
  </si>
  <si>
    <t>ADO-MORTALITY-WHOREGION-RATE_CAUSE_FEMALE_15_19-TREND</t>
  </si>
  <si>
    <t>ADO-MORTALITY-WHOREGION-RATE&amp;COD_AGE_MALE-BAR</t>
  </si>
  <si>
    <t>ADO-MORTALITY-WHOREGION-RATE&amp;COD_AGE_FEMALE-BAR</t>
  </si>
  <si>
    <t>ADO-MORTALITY-WBINCOME-TITLE-TEXT</t>
  </si>
  <si>
    <t>ADO-MORTALITY-WBINCOME-RATE_AGE_SEX-TREND</t>
  </si>
  <si>
    <t>ADO-MORTALITY-WBINCOME-RATE&amp;COD_AGE_MALE-BAR</t>
  </si>
  <si>
    <t>ADO-MORTALITY-WBINCOME-RATE&amp;COD_AGE_FEMALE-BAR</t>
  </si>
  <si>
    <t>ADO-MORTALITY-WBINCOME-RATE_CAUSE_MALE_10_14-TREND</t>
  </si>
  <si>
    <t>ADO-MORTALITY-WBINCOME-RATE_CAUSE_MALE_15_19-TREND</t>
  </si>
  <si>
    <t>ADO-MORTALITY-WBINCOME-RATE_CAUSE_FEMALE_10_14-TREND</t>
  </si>
  <si>
    <t>ADO-MORTALITY-WBINCOME-RATE_CAUSE_FEMALE_15_19-TREND</t>
  </si>
  <si>
    <t>AGE-DEMO&amp;MORTALITY-GLOBAL-TITLE-TEXT</t>
  </si>
  <si>
    <t>AGE-DEMO&amp;MORTALITY-GLOBAL-PERCENT60_2023-MAP</t>
  </si>
  <si>
    <t>AGE-DEMO&amp;MORTALITY-GLOBAL-PERCENT60_2050-MAP</t>
  </si>
  <si>
    <t>AGE-DEMO&amp;MORTALITY-GLOBAL-PERCENT60_2030-MAP</t>
  </si>
  <si>
    <t>AGE-DEMO&amp;MORTALITY-WHOREGION-PERCENT60_TRENDS-TREND</t>
  </si>
  <si>
    <t>AGE-DEMO&amp;MORTALITY-WHOREGION-PERCENT60_SEX-BAR</t>
  </si>
  <si>
    <t>AGE-DEMO&amp;MORTALITY-WHOREGION-PERCENT80_SEX-BAR</t>
  </si>
  <si>
    <t>AGE-DEMO&amp;MORTALITY-WBINCOME-PERCENT60_SEX-BAR</t>
  </si>
  <si>
    <t>AGE-DEMO&amp;MORTALITY-WBINCOME-PERCENT80_SEX-BAR</t>
  </si>
  <si>
    <t>AGE-DEMO&amp;MORTALITY-GLOBAL-HALE_60-MAP</t>
  </si>
  <si>
    <t>AGE-DEMO&amp;MORTALITY-COUNTRY-HALE_60-BAR</t>
  </si>
  <si>
    <t>AGE-DEMO&amp;MORTALITY-WHOREGION-HALE_60-VERTSCAT</t>
  </si>
  <si>
    <t>AGE-DEMO&amp;MORTALITY-WBINCOME-HALE_60-VERTSCAT</t>
  </si>
  <si>
    <t>AGE-DEMO&amp;MORTALITY-GLOBAL-COD_60-RANK</t>
  </si>
  <si>
    <t>AGE-DEMO&amp;MORTALITY-WBINCOME-COD_60-RANK</t>
  </si>
  <si>
    <t>AGE-DEMO&amp;MORTALITY-WBINCOME-CAUSE_YLD_60-RANK</t>
  </si>
  <si>
    <t>AGE-DEMO&amp;MORTALITY-WBINCOME-CAUSE_YLD_60_GROUPED-RANK</t>
  </si>
  <si>
    <t>AGE-RISK&amp;SOCIAL-NA-TITLE-TEXT</t>
  </si>
  <si>
    <t>AGE-RISK&amp;SOCIAL-GLOBAL-BMI_60_FEMALE-MAP</t>
  </si>
  <si>
    <t>AGE-RISK&amp;SOCIAL-GLOBAL-BMI_60_MALE-MAP</t>
  </si>
  <si>
    <t>AGE-RISK&amp;SOCIAL-GLOBAL-BMI_60_SEX-MAP</t>
  </si>
  <si>
    <t>AGE-RISK&amp;SOCIAL-WHOREGION-PHYSICAL_ACT_70-VERTSCAT</t>
  </si>
  <si>
    <t>AGE-CARE&amp;COMMON-NA-TITLE-TEXT</t>
  </si>
  <si>
    <t>AGE-CARE&amp;COMMON-COUNTRY-CARE_80-VERTSTACK</t>
  </si>
  <si>
    <t>AGE-CARE&amp;COMMON-COUNTRY-CARE_AGE-VERTSTACK</t>
  </si>
  <si>
    <t>AGE-CARE&amp;COMMON-WHOREGION-FALLS_AGE-VERTSCAT</t>
  </si>
  <si>
    <t>AGE-CARE&amp;COMMON-WHOREGION-BACKPAIN_AGE-VERTSCAT</t>
  </si>
  <si>
    <t>AGE-CARE&amp;COMMON-COUNTRY-AGEIST-VERTSTACK</t>
  </si>
  <si>
    <t>AGE-CARE&amp;COMMON-WHOREGION-ABUSE-BAR</t>
  </si>
  <si>
    <t>AGE-CARE&amp;COMMON-COUNTRY&amp;WHOREGION_AMR&amp;EUR-LIVING_ARRANGMENTS_60-VERTSTACK</t>
  </si>
  <si>
    <t>AGE-CARE&amp;COMMON-COUNTRY&amp;WHOREGION-LIVING_ARRANGMENTS_80-VERTSTACK</t>
  </si>
  <si>
    <t>AGE-CARE&amp;COMMON-COUNTRY&amp;WHOREGION_AMR&amp;EUR-LIVING_ARRANGMENTS_80-VERTSTACK</t>
  </si>
  <si>
    <t>AGE-CARE&amp;COMMON-WHOREGION-LABOUR_SEX-VERTSCAT</t>
  </si>
  <si>
    <t>Source Source</t>
  </si>
  <si>
    <t>MCA</t>
  </si>
  <si>
    <t>UNIGME</t>
  </si>
  <si>
    <t>UNIGME?</t>
  </si>
  <si>
    <t>GHO/MCA</t>
  </si>
  <si>
    <t>KATE</t>
  </si>
  <si>
    <t>KATE?</t>
  </si>
  <si>
    <t>CODE-CA</t>
  </si>
  <si>
    <t>SRHR? GHO?</t>
  </si>
  <si>
    <t>Maternal mortality</t>
  </si>
  <si>
    <t>Maternal deaths per 100 000 live births (MMR), 2023</t>
  </si>
  <si>
    <t>United Nations Maternal Mortality Estimation Inter-Agency Group (MMEIG)</t>
  </si>
  <si>
    <t>Created / Provided by</t>
  </si>
  <si>
    <t>STRONG, Kathleen Louise strongk@who.int</t>
  </si>
  <si>
    <t>N/A</t>
  </si>
  <si>
    <r>
      <t xml:space="preserve">PEVEN, Kimberly </t>
    </r>
    <r>
      <rPr>
        <u/>
        <sz val="11"/>
        <color rgb="FF0000FF"/>
        <rFont val="Calibri"/>
        <family val="2"/>
        <scheme val="minor"/>
      </rPr>
      <t>pevenk@who.int</t>
    </r>
    <r>
      <rPr>
        <sz val="11"/>
        <color rgb="FF000000"/>
        <rFont val="Calibri"/>
        <family val="2"/>
        <scheme val="minor"/>
      </rPr>
      <t xml:space="preserve"> / </t>
    </r>
    <r>
      <rPr>
        <u/>
        <sz val="11"/>
        <color rgb="FF0000FF"/>
        <rFont val="Calibri"/>
        <family val="2"/>
        <scheme val="minor"/>
      </rPr>
      <t>kpeven@gmail.com</t>
    </r>
  </si>
  <si>
    <t>2025-10
Status</t>
  </si>
  <si>
    <t>DONE</t>
  </si>
  <si>
    <t>New Data?</t>
  </si>
  <si>
    <t>Slide title text</t>
  </si>
  <si>
    <t>2025-10
Comments</t>
  </si>
  <si>
    <t>SRH: has Say2014_LGH_MatCauseDeath.xlsx been updated?</t>
  </si>
  <si>
    <t>SRH: equivalent to estimates_World.csv and estimates_WHO_region.csv  and estimates_World_Bank_Income.csvavailable? Or should we use GHO data?</t>
  </si>
  <si>
    <t>SRH: equivalent to estimates_World_Bank_Income.csvavailable?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</si>
</sst>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m\-dd"/>
  </numFmts>
  <fonts count="6" x14ac:knownFonts="1">
    <font>
      <sz val="11"/>
      <color theme="1"/>
      <name val="Calibri"/>
      <family val="2"/>
      <scheme val="minor"/>
    </font>
    <font>
      <u/>
      <sz val="11"/>
      <color theme="10"/>
      <name val="Calibri"/>
      <family val="2"/>
      <scheme val="minor"/>
    </font>
    <font>
      <sz val="8"/>
      <name val="Calibri"/>
      <family val="2"/>
      <scheme val="minor"/>
    </font>
    <font>
      <sz val="11"/>
      <color rgb="FF000000"/>
      <name val="Calibri"/>
      <family val="2"/>
      <scheme val="minor"/>
    </font>
    <font>
      <b/>
      <sz val="11"/>
      <color theme="1"/>
      <name val="Calibri"/>
      <family val="2"/>
      <scheme val="minor"/>
    </font>
    <font>
      <u/>
      <sz val="11"/>
      <color rgb="FF0000FF"/>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40">
    <xf numFmtId="0" fontId="0" fillId="0" borderId="0" xfId="0"/>
    <xf numFmtId="0" fontId="0" fillId="0" borderId="1" xfId="0" applyBorder="1" applyAlignment="1">
      <alignment vertical="center" wrapText="1"/>
    </xf>
    <xf numFmtId="0" fontId="1" fillId="0" borderId="1" xfId="1" applyBorder="1" applyAlignment="1">
      <alignment vertical="center" wrapText="1"/>
    </xf>
    <xf numFmtId="164" fontId="0" fillId="0" borderId="1" xfId="0" applyNumberFormat="1" applyBorder="1" applyAlignment="1">
      <alignment vertical="center" wrapText="1"/>
    </xf>
    <xf numFmtId="0" fontId="0" fillId="2" borderId="1" xfId="0" applyFill="1" applyBorder="1" applyAlignment="1">
      <alignment vertical="center"/>
    </xf>
    <xf numFmtId="0" fontId="0" fillId="0" borderId="1" xfId="0" applyBorder="1" applyAlignment="1">
      <alignment vertical="center" wrapText="1"/>
    </xf>
    <xf numFmtId="0" fontId="0" fillId="0" borderId="1" xfId="0" applyBorder="1" applyAlignment="1">
      <alignment vertical="center"/>
    </xf>
    <xf numFmtId="0" fontId="3" fillId="0" borderId="1" xfId="0" applyFont="1" applyBorder="1" applyAlignment="1">
      <alignment vertical="center"/>
    </xf>
    <xf numFmtId="0" fontId="0" fillId="2" borderId="1" xfId="0" applyFill="1" applyBorder="1"/>
    <xf numFmtId="0" fontId="0" fillId="2" borderId="1" xfId="0" applyFill="1" applyBorder="1" applyAlignment="1">
      <alignment vertical="center" wrapText="1"/>
    </xf>
    <xf numFmtId="0" fontId="0" fillId="0" borderId="1" xfId="0" applyFill="1" applyBorder="1" applyAlignment="1">
      <alignment vertical="center"/>
    </xf>
    <xf numFmtId="0" fontId="0" fillId="0" borderId="1" xfId="0" applyFill="1" applyBorder="1" applyAlignment="1">
      <alignment vertical="center" wrapText="1"/>
    </xf>
    <xf numFmtId="0" fontId="0" fillId="0" borderId="1" xfId="0" applyFill="1" applyBorder="1"/>
    <xf numFmtId="0" fontId="1" fillId="0" borderId="1" xfId="1" applyBorder="1" applyAlignment="1">
      <alignment vertical="center"/>
    </xf>
    <xf numFmtId="0" fontId="4" fillId="0" borderId="1" xfId="0" applyFont="1" applyBorder="1" applyAlignment="1">
      <alignment horizontal="center" vertical="center" wrapText="1"/>
    </xf>
    <xf numFmtId="0" fontId="0" fillId="0" borderId="1" xfId="0" applyBorder="1"/>
    <xf numFmtId="0" fontId="0" fillId="3" borderId="1" xfId="0" applyFill="1" applyBorder="1" applyAlignment="1">
      <alignment vertical="center" wrapText="1"/>
    </xf>
    <xf numFmtId="0" fontId="1" fillId="2" borderId="1" xfId="1" applyFill="1" applyBorder="1" applyAlignment="1">
      <alignment vertical="center" wrapText="1"/>
    </xf>
    <xf numFmtId="165" fontId="4" fillId="0" borderId="1" xfId="0" applyNumberFormat="1" applyFont="1" applyBorder="1" applyAlignment="1">
      <alignment horizontal="center" vertical="center" wrapText="1"/>
    </xf>
    <xf numFmtId="0" fontId="0" fillId="0" borderId="1" xfId="0" applyFont="1" applyBorder="1" applyAlignment="1">
      <alignment vertical="center" wrapText="1"/>
    </xf>
    <xf numFmtId="165" fontId="0" fillId="0" borderId="1" xfId="0" applyNumberFormat="1" applyFont="1" applyBorder="1" applyAlignment="1">
      <alignment vertical="center" wrapText="1"/>
    </xf>
    <xf numFmtId="0" fontId="0" fillId="0" borderId="1" xfId="0" applyFont="1" applyFill="1" applyBorder="1" applyAlignment="1">
      <alignment vertical="center" wrapText="1"/>
    </xf>
    <xf numFmtId="0" fontId="0" fillId="0" borderId="1" xfId="0" applyFont="1" applyFill="1" applyBorder="1"/>
    <xf numFmtId="0" fontId="0" fillId="2" borderId="1" xfId="0" applyFont="1" applyFill="1" applyBorder="1" applyAlignment="1">
      <alignment vertical="center" wrapText="1"/>
    </xf>
    <xf numFmtId="0" fontId="0" fillId="2" borderId="1" xfId="0" applyFont="1" applyFill="1" applyBorder="1"/>
    <xf numFmtId="165" fontId="0" fillId="2" borderId="1" xfId="0" applyNumberFormat="1" applyFont="1" applyFill="1" applyBorder="1" applyAlignment="1">
      <alignment vertical="center" wrapText="1"/>
    </xf>
    <xf numFmtId="165" fontId="0" fillId="0" borderId="1" xfId="0" applyNumberFormat="1" applyFont="1" applyFill="1" applyBorder="1" applyAlignment="1">
      <alignment vertical="center" wrapText="1"/>
    </xf>
    <xf numFmtId="0" fontId="0" fillId="0" borderId="1" xfId="0" applyFont="1" applyFill="1" applyBorder="1" applyAlignment="1">
      <alignment wrapText="1"/>
    </xf>
    <xf numFmtId="0" fontId="1" fillId="0" borderId="1" xfId="1" applyFont="1" applyBorder="1" applyAlignment="1">
      <alignment vertical="center" wrapText="1"/>
    </xf>
    <xf numFmtId="0" fontId="0" fillId="0" borderId="1" xfId="0" applyFont="1" applyFill="1" applyBorder="1" applyAlignment="1">
      <alignment horizontal="center" vertical="center" wrapText="1"/>
    </xf>
    <xf numFmtId="0" fontId="0" fillId="0" borderId="1" xfId="0" applyFont="1" applyFill="1" applyBorder="1" applyAlignment="1">
      <alignment horizontal="center"/>
    </xf>
    <xf numFmtId="165" fontId="0" fillId="0" borderId="1" xfId="0" applyNumberFormat="1" applyFont="1" applyFill="1" applyBorder="1" applyAlignment="1">
      <alignment horizontal="center" vertical="center" wrapText="1"/>
    </xf>
    <xf numFmtId="0" fontId="3" fillId="0" borderId="1" xfId="0" applyFont="1" applyBorder="1" applyAlignment="1">
      <alignment vertical="center" wrapText="1"/>
    </xf>
    <xf numFmtId="165" fontId="3" fillId="0" borderId="1" xfId="0" applyNumberFormat="1" applyFont="1" applyBorder="1" applyAlignment="1">
      <alignment vertical="center" wrapText="1"/>
    </xf>
    <xf numFmtId="0" fontId="3" fillId="0" borderId="1" xfId="0" applyFont="1" applyBorder="1"/>
    <xf numFmtId="0" fontId="3" fillId="0" borderId="1" xfId="0" applyFont="1" applyBorder="1" applyAlignment="1">
      <alignment horizontal="left" vertical="center" readingOrder="1"/>
    </xf>
    <xf numFmtId="0" fontId="3" fillId="0" borderId="1" xfId="0" applyFont="1" applyFill="1" applyBorder="1"/>
    <xf numFmtId="0" fontId="3" fillId="2" borderId="1" xfId="0" applyFont="1" applyFill="1" applyBorder="1" applyAlignment="1">
      <alignment horizontal="left" vertical="center" readingOrder="1"/>
    </xf>
    <xf numFmtId="165" fontId="3" fillId="0" borderId="1" xfId="0" applyNumberFormat="1" applyFont="1" applyBorder="1" applyAlignment="1">
      <alignment horizontal="left" vertical="center" readingOrder="1"/>
    </xf>
    <xf numFmtId="0" fontId="3" fillId="0" borderId="0" xfId="0" applyFont="1" applyBorder="1"/>
  </cellXfs>
  <cellStyles count="2">
    <cellStyle name="Hyperlink" xfId="1" builtinId="8"/>
    <cellStyle name="Normal"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strongk@who.int" TargetMode="External"/><Relationship Id="rId2" Type="http://schemas.openxmlformats.org/officeDocument/2006/relationships/hyperlink" Target="mailto:strongk@who.int" TargetMode="External"/><Relationship Id="rId1" Type="http://schemas.openxmlformats.org/officeDocument/2006/relationships/hyperlink" Target="mailto:strongk@who.int" TargetMode="External"/><Relationship Id="rId4" Type="http://schemas.openxmlformats.org/officeDocument/2006/relationships/hyperlink" Target="mailto:strongk@who.int"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xmart-api-public.who.int/MNCAH/MCA_FACT_DATA?$filter=INDICATOR_FK%20in%20(%22AGE_OVER60PCT%22)&amp;$select=INDICATOR_FK,YEAR_FK,COUNTRY_FK,COUNTRY_FK__CODE,ValueString,ValueNumeric,ValueLow,ValueHigh,ValueStdDev,ValueStdErr,Comments,EffectiveDate,EndDate,Status,AGEGROUP_FK,AGEGROUP_FK__CODE,Answer_FK,CauseGHE_FK,CauseGHE_FK__CODE,CauseGHEChild_FK,CauseGHEChild_FK__CODE,CauseENVCAUSE_FK,CauseENVCAUSE_FK__CODE,DatasourceLong,DatasourceShort,ImpSan_FK,ImpWater_FK,LivingArrangements_FK,MEASDEF_FK,MOTHEREDUCATION_FK,ProficiencyLevel_FK,ResideLTA_FK,RESIDENCEAREA_FK,SABDefinition_FK,SEVERITY_FK,SEVERITYHEARING_FK,SEVERITYVISION_FK,SEX_FK,WEALTHQUINTILE_FK" TargetMode="External"/><Relationship Id="rId13" Type="http://schemas.openxmlformats.org/officeDocument/2006/relationships/hyperlink" Target="https://www.un.org/development/desa/pd/sites/www.un.org.development.desa.pd/files/undesa_pd_2022_living-arrangements-older-persons.xlsx" TargetMode="External"/><Relationship Id="rId18" Type="http://schemas.openxmlformats.org/officeDocument/2006/relationships/hyperlink" Target="https://xmart-api-public.who.int/MNCAH/MCA_FACT_DATA?$filter=INDICATOR_FK%20in%20(%22AGE_OVER80PCT%22)&amp;$select=INDICATOR_FK,YEAR_FK,COUNTRY_FK,COUNTRY_FK__CODE,ValueString,ValueNumeric,ValueLow,ValueHigh,ValueStdDev,ValueStdErr,Comments,EffectiveDate,EndDate,Status,AGEGROUP_FK,AGEGROUP_FK__CODE,Answer_FK,CauseGHE_FK,CauseGHE_FK__CODE,CauseGHEChild_FK,CauseGHEChild_FK__CODE,CauseENVCAUSE_FK,CauseENVCAUSE_FK__CODE,DatasourceLong,DatasourceShort,ImpSan_FK,ImpWater_FK,LivingArrangements_FK,MEASDEF_FK,MOTHEREDUCATION_FK,ProficiencyLevel_FK,ResideLTA_FK,RESIDENCEAREA_FK,SABDefinition_FK,SEVERITY_FK,SEVERITYHEARING_FK,SEVERITYVISION_FK,SEX_FK,WEALTHQUINTILE_FK" TargetMode="External"/><Relationship Id="rId26" Type="http://schemas.openxmlformats.org/officeDocument/2006/relationships/hyperlink" Target="https://xmart-api-public.who.int/MNCAH/MCA_FACT_DATA?$filter=INDICATOR_FK%20in%20(%22AC_ANEMIAPW%22,%22AC_ANEMIAWRA%22,%22BC_LBW%22)&amp;$select=INDICATOR_FK,YEAR_FK,COUNTRY_FK,COUNTRY_FK__CODE,ValueNumeric,ValueLow,ValueHigh,ValueStdDev,ValueStdErr,Comments,AGEGROUP_FK,Answer_FK,CauseGHE_FK,CauseGHEChild_FK,CauseENVCAUSE_FK,DatasourceLong,DatasourceShort,ImpSan_FK,ImpWater_FK,LivingArrangements_FK,MEASDEF_FK,MOTHEREDUCATION_FK,ProficiencyLevel_FK,ResideLTA_FK,RESIDENCEAREA_FK,SABDefinition_FK,SEVERITY_FK,SEVERITYHEARING_FK,SEVERITYVISION_FK,SEX_FK,WEALTHQUINTILE_FK" TargetMode="External"/><Relationship Id="rId3" Type="http://schemas.openxmlformats.org/officeDocument/2006/relationships/hyperlink" Target="https://mmr2020.srhr.org/data" TargetMode="External"/><Relationship Id="rId21" Type="http://schemas.openxmlformats.org/officeDocument/2006/relationships/hyperlink" Target="https://xmart-api-public.who.int/MNCAH/MCA_FACT_DATA?$filter=INDICATOR_FK%20in%20(%22AC_ANEMIAPW%22,%22AC_ANEMIAWRA%22,%22BC_LBW%22)&amp;$select=INDICATOR_FK,YEAR_FK,COUNTRY_FK,COUNTRY_FK__CODE,ValueNumeric,ValueLow,ValueHigh,ValueStdDev,ValueStdErr,Comments,AGEGROUP_FK,Answer_FK,CauseGHE_FK,CauseGHEChild_FK,CauseENVCAUSE_FK,DatasourceLong,DatasourceShort,ImpSan_FK,ImpWater_FK,LivingArrangements_FK,MEASDEF_FK,MOTHEREDUCATION_FK,ProficiencyLevel_FK,ResideLTA_FK,RESIDENCEAREA_FK,SABDefinition_FK,SEVERITY_FK,SEVERITYHEARING_FK,SEVERITYVISION_FK,SEX_FK,WEALTHQUINTILE_FK" TargetMode="External"/><Relationship Id="rId7" Type="http://schemas.openxmlformats.org/officeDocument/2006/relationships/hyperlink" Target="https://xmart-api-public.who.int/MNCAH/MCA_FACT_DATA?$filter=INDICATOR_FK%20in%20(%22AGE_OVER80PCT%22)&amp;$select=INDICATOR_FK,YEAR_FK,COUNTRY_FK,COUNTRY_FK__CODE,ValueString,ValueNumeric,ValueLow,ValueHigh,ValueStdDev,ValueStdErr,Comments,EffectiveDate,EndDate,Status,AGEGROUP_FK,AGEGROUP_FK__CODE,Answer_FK,CauseGHE_FK,CauseGHE_FK__CODE,CauseGHEChild_FK,CauseGHEChild_FK__CODE,CauseENVCAUSE_FK,CauseENVCAUSE_FK__CODE,DatasourceLong,DatasourceShort,ImpSan_FK,ImpWater_FK,LivingArrangements_FK,MEASDEF_FK,MOTHEREDUCATION_FK,ProficiencyLevel_FK,ResideLTA_FK,RESIDENCEAREA_FK,SABDefinition_FK,SEVERITY_FK,SEVERITYHEARING_FK,SEVERITYVISION_FK,SEX_FK,WEALTHQUINTILE_FK" TargetMode="External"/><Relationship Id="rId12" Type="http://schemas.openxmlformats.org/officeDocument/2006/relationships/hyperlink" Target="https://ghoapi.azureedge.net/api/sba" TargetMode="External"/><Relationship Id="rId17" Type="http://schemas.openxmlformats.org/officeDocument/2006/relationships/hyperlink" Target="https://xmart-api-public.who.int/MNCAH/MCA_FACT_DATA?$filter=INDICATOR_FK%20in%20(%22AGE_OVER60PCT%22)&amp;$select=INDICATOR_FK,YEAR_FK,COUNTRY_FK,COUNTRY_FK__CODE,ValueString,ValueNumeric,ValueLow,ValueHigh,ValueStdDev,ValueStdErr,Comments,EffectiveDate,EndDate,Status,AGEGROUP_FK,AGEGROUP_FK__CODE,Answer_FK,CauseGHE_FK,CauseGHE_FK__CODE,CauseGHEChild_FK,CauseGHEChild_FK__CODE,CauseENVCAUSE_FK,CauseENVCAUSE_FK__CODE,DatasourceLong,DatasourceShort,ImpSan_FK,ImpWater_FK,LivingArrangements_FK,MEASDEF_FK,MOTHEREDUCATION_FK,ProficiencyLevel_FK,ResideLTA_FK,RESIDENCEAREA_FK,SABDefinition_FK,SEVERITY_FK,SEVERITYHEARING_FK,SEVERITYVISION_FK,SEX_FK,WEALTHQUINTILE_FK" TargetMode="External"/><Relationship Id="rId25" Type="http://schemas.openxmlformats.org/officeDocument/2006/relationships/hyperlink" Target="https://xmart-api-public.who.int/REFMART/REF_COUNTRY" TargetMode="External"/><Relationship Id="rId2" Type="http://schemas.openxmlformats.org/officeDocument/2006/relationships/hyperlink" Target="https://data.unicef.org/wp-content/uploads/2020/10/Stillbirth-rate-and-deaths_2023.xlsx" TargetMode="External"/><Relationship Id="rId16" Type="http://schemas.openxmlformats.org/officeDocument/2006/relationships/hyperlink" Target="https://ghoapi.azureedge.net/api/sba" TargetMode="External"/><Relationship Id="rId20" Type="http://schemas.openxmlformats.org/officeDocument/2006/relationships/hyperlink" Target="https://mmr2020.srhr.org/data" TargetMode="External"/><Relationship Id="rId1" Type="http://schemas.openxmlformats.org/officeDocument/2006/relationships/hyperlink" Target="https://xmart-api-public.who.int/REFMART/REF_COUNTRY" TargetMode="External"/><Relationship Id="rId6" Type="http://schemas.openxmlformats.org/officeDocument/2006/relationships/hyperlink" Target="https://extranet.who.int/xmart4/MNCAH/data/DM_Indicators" TargetMode="External"/><Relationship Id="rId11" Type="http://schemas.openxmlformats.org/officeDocument/2006/relationships/hyperlink" Target="https://xmart-api-public.who.int/MNCAH/REF_CauseGHE" TargetMode="External"/><Relationship Id="rId24" Type="http://schemas.openxmlformats.org/officeDocument/2006/relationships/hyperlink" Target="https://xmart-api-public.who.int/MNCAH/MCA_FACT_DATA?$filter=INDICATOR_FK%20in%20(%22AC_ANEMIAPW%22,%22AC_ANEMIAWRA%22,%22BC_LBW%22)&amp;$select=INDICATOR_FK,YEAR_FK,COUNTRY_FK,COUNTRY_FK__CODE,ValueNumeric,ValueLow,ValueHigh,ValueStdDev,ValueStdErr,Comments,AGEGROUP_FK,Answer_FK,CauseGHE_FK,CauseGHEChild_FK,CauseENVCAUSE_FK,DatasourceLong,DatasourceShort,ImpSan_FK,ImpWater_FK,LivingArrangements_FK,MEASDEF_FK,MOTHEREDUCATION_FK,ProficiencyLevel_FK,ResideLTA_FK,RESIDENCEAREA_FK,SABDefinition_FK,SEVERITY_FK,SEVERITYHEARING_FK,SEVERITYVISION_FK,SEX_FK,WEALTHQUINTILE_FK" TargetMode="External"/><Relationship Id="rId5" Type="http://schemas.openxmlformats.org/officeDocument/2006/relationships/hyperlink" Target="https://ghoapi.azureedge.net/api/WHS_PBR" TargetMode="External"/><Relationship Id="rId15" Type="http://schemas.openxmlformats.org/officeDocument/2006/relationships/hyperlink" Target="https://ghoapi.azureedge.net/api/WHS_PBR" TargetMode="External"/><Relationship Id="rId23" Type="http://schemas.openxmlformats.org/officeDocument/2006/relationships/hyperlink" Target="https://xmart-api-public.who.int/MNCAH/MCA_FACT_DATA?$filter=INDICATOR_FK%20in%20(%22AC_ANEMIAPW%22,%22AC_ANEMIAWRA%22,%22BC_LBW%22)&amp;$select=INDICATOR_FK,YEAR_FK,COUNTRY_FK,COUNTRY_FK__CODE,ValueNumeric,ValueLow,ValueHigh,ValueStdDev,ValueStdErr,Comments,AGEGROUP_FK,Answer_FK,CauseGHE_FK,CauseGHEChild_FK,CauseENVCAUSE_FK,DatasourceLong,DatasourceShort,ImpSan_FK,ImpWater_FK,LivingArrangements_FK,MEASDEF_FK,MOTHEREDUCATION_FK,ProficiencyLevel_FK,ResideLTA_FK,RESIDENCEAREA_FK,SABDefinition_FK,SEVERITY_FK,SEVERITYHEARING_FK,SEVERITYVISION_FK,SEX_FK,WEALTHQUINTILE_FK" TargetMode="External"/><Relationship Id="rId10" Type="http://schemas.openxmlformats.org/officeDocument/2006/relationships/hyperlink" Target="https://xmart-api-public.who.int/MNCAH/MCA_FACT_DATA_AGGREGATED?$filter=INDICATOR_FK%20in%20(%22AGE_YLD%22)%20and%20SEX_FK%20in%20(%22BTSX%22)" TargetMode="External"/><Relationship Id="rId19" Type="http://schemas.openxmlformats.org/officeDocument/2006/relationships/hyperlink" Target="https://xmart-api-public.who.int/MNCAH/MCA_FACT_DATA_AGGREGATED?$filter=INDICATOR_FK%20in%20(%22AGE_YLD%22)%20and%20SEX_FK%20in%20(%22BTSX%22)" TargetMode="External"/><Relationship Id="rId4" Type="http://schemas.openxmlformats.org/officeDocument/2006/relationships/hyperlink" Target="https://mmr2020.srhr.org/data" TargetMode="External"/><Relationship Id="rId9" Type="http://schemas.openxmlformats.org/officeDocument/2006/relationships/hyperlink" Target="https://xmart-api-public.who.int/MNCAH/MCA_FACT_DATA_AGGREGATED?$filter=INDICATOR_FK%20in%20(%22AGE_YLD%22)%20and%20SEX_FK%20in%20(%22BTSX%22)" TargetMode="External"/><Relationship Id="rId14" Type="http://schemas.openxmlformats.org/officeDocument/2006/relationships/hyperlink" Target="https://xmart-api-public.who.int/REFMART/REF_COUNTRY" TargetMode="External"/><Relationship Id="rId22" Type="http://schemas.openxmlformats.org/officeDocument/2006/relationships/hyperlink" Target="https://xmart-api-public.who.int/MNCAH/MCA_FACT_DATA?$filter=INDICATOR_FK%20in%20(%22AC_ANEMIAPW%22,%22AC_ANEMIAWRA%22,%22BC_LBW%22)&amp;$select=INDICATOR_FK,YEAR_FK,COUNTRY_FK,COUNTRY_FK__CODE,ValueNumeric,ValueLow,ValueHigh,ValueStdDev,ValueStdErr,Comments,AGEGROUP_FK,Answer_FK,CauseGHE_FK,CauseGHEChild_FK,CauseENVCAUSE_FK,DatasourceLong,DatasourceShort,ImpSan_FK,ImpWater_FK,LivingArrangements_FK,MEASDEF_FK,MOTHEREDUCATION_FK,ProficiencyLevel_FK,ResideLTA_FK,RESIDENCEAREA_FK,SABDefinition_FK,SEVERITY_FK,SEVERITYHEARING_FK,SEVERITYVISION_FK,SEX_FK,WEALTHQUINTILE_FK"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ghoapi.azureedge.net/api/ors" TargetMode="External"/><Relationship Id="rId13" Type="http://schemas.openxmlformats.org/officeDocument/2006/relationships/hyperlink" Target="https://xmart-api-public.who.int/MNCAH/MCA_FACT_DATA_AGGREGATED?$filter=INDICATOR_FK%20in%20(%22AGE_YLD%22)%20and%20SEX_FK%20in%20(%22BTSX%22)" TargetMode="External"/><Relationship Id="rId3" Type="http://schemas.openxmlformats.org/officeDocument/2006/relationships/hyperlink" Target="https://ghoapi.azureedge.net/api/sba" TargetMode="External"/><Relationship Id="rId7" Type="http://schemas.openxmlformats.org/officeDocument/2006/relationships/hyperlink" Target="https://ghoapi.azureedge.net/api/ors" TargetMode="External"/><Relationship Id="rId12" Type="http://schemas.openxmlformats.org/officeDocument/2006/relationships/hyperlink" Target="https://ghoapi.azureedge.net/api/carep" TargetMode="External"/><Relationship Id="rId2" Type="http://schemas.openxmlformats.org/officeDocument/2006/relationships/hyperlink" Target="https://ghoapi.azureedge.net/api/sba" TargetMode="External"/><Relationship Id="rId1" Type="http://schemas.openxmlformats.org/officeDocument/2006/relationships/hyperlink" Target="https://ghoapi.azureedge.net/api/sba" TargetMode="External"/><Relationship Id="rId6" Type="http://schemas.openxmlformats.org/officeDocument/2006/relationships/hyperlink" Target="https://ghoapi.azureedge.net/api/ors" TargetMode="External"/><Relationship Id="rId11" Type="http://schemas.openxmlformats.org/officeDocument/2006/relationships/hyperlink" Target="https://ghoapi.azureedge.net/api/carep" TargetMode="External"/><Relationship Id="rId5" Type="http://schemas.openxmlformats.org/officeDocument/2006/relationships/hyperlink" Target="https://ghoapi.azureedge.net/api/ors" TargetMode="External"/><Relationship Id="rId15" Type="http://schemas.openxmlformats.org/officeDocument/2006/relationships/hyperlink" Target="https://xmart-api-public.who.int/MNCAH/MCA_FACT_DATA_AGGREGATED?$filter=INDICATOR_FK%20in%20(%22AGE_YLD%22)%20and%20SEX_FK%20in%20(%22BTSX%22)" TargetMode="External"/><Relationship Id="rId10" Type="http://schemas.openxmlformats.org/officeDocument/2006/relationships/hyperlink" Target="https://ghoapi.azureedge.net/api/carep" TargetMode="External"/><Relationship Id="rId4" Type="http://schemas.openxmlformats.org/officeDocument/2006/relationships/hyperlink" Target="https://ghoapi.azureedge.net/api/sba" TargetMode="External"/><Relationship Id="rId9" Type="http://schemas.openxmlformats.org/officeDocument/2006/relationships/hyperlink" Target="https://ghoapi.azureedge.net/api/carep" TargetMode="External"/><Relationship Id="rId14" Type="http://schemas.openxmlformats.org/officeDocument/2006/relationships/hyperlink" Target="https://xmart-api-public.who.int/MNCAH/MCA_FACT_DATA_AGGREGATED?$filter=INDICATOR_FK%20in%20(%22AGE_YLD%22)%20and%20SEX_FK%20in%20(%22BTSX%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08168-BE38-435A-A8CB-B32F891C5DF1}">
  <sheetPr filterMode="1"/>
  <dimension ref="A1:S174"/>
  <sheetViews>
    <sheetView zoomScaleNormal="100" workbookViewId="0">
      <pane xSplit="1" ySplit="1" topLeftCell="H42" activePane="bottomRight" state="frozen"/>
      <selection pane="topRight" activeCell="B1" sqref="B1"/>
      <selection pane="bottomLeft" activeCell="A2" sqref="A2"/>
      <selection pane="bottomRight" activeCell="A42" sqref="A42"/>
    </sheetView>
  </sheetViews>
  <sheetFormatPr defaultColWidth="9.109375" defaultRowHeight="14.4" x14ac:dyDescent="0.3"/>
  <cols>
    <col min="1" max="1" width="13.88671875" style="19" bestFit="1" customWidth="1"/>
    <col min="2" max="2" width="43.109375" style="19" customWidth="1"/>
    <col min="3" max="3" width="12.33203125" style="19" customWidth="1"/>
    <col min="4" max="4" width="29.6640625" style="19" customWidth="1"/>
    <col min="5" max="5" width="40.44140625" style="19" bestFit="1" customWidth="1"/>
    <col min="6" max="6" width="46.6640625" style="19" bestFit="1" customWidth="1"/>
    <col min="7" max="7" width="46.6640625" style="19" customWidth="1"/>
    <col min="8" max="8" width="13.88671875" style="19" bestFit="1" customWidth="1"/>
    <col min="9" max="9" width="12.88671875" style="19" bestFit="1" customWidth="1"/>
    <col min="10" max="10" width="20.77734375" style="19" bestFit="1" customWidth="1"/>
    <col min="11" max="11" width="20.77734375" style="19" customWidth="1"/>
    <col min="12" max="12" width="20" style="19" bestFit="1" customWidth="1"/>
    <col min="13" max="13" width="53.88671875" style="19" bestFit="1" customWidth="1"/>
    <col min="14" max="14" width="50" style="19" customWidth="1"/>
    <col min="15" max="15" width="39.5546875" style="19" bestFit="1" customWidth="1"/>
    <col min="16" max="16" width="16.33203125" style="20" bestFit="1" customWidth="1"/>
    <col min="17" max="17" width="30.77734375" style="20" customWidth="1"/>
    <col min="18" max="18" width="38.109375" style="20" bestFit="1" customWidth="1"/>
    <col min="19" max="19" width="63.5546875" style="19" customWidth="1"/>
    <col min="20" max="16384" width="9.109375" style="19"/>
  </cols>
  <sheetData>
    <row r="1" spans="1:19" ht="28.8" x14ac:dyDescent="0.3">
      <c r="A1" s="14" t="s">
        <v>10</v>
      </c>
      <c r="B1" s="14" t="s">
        <v>692</v>
      </c>
      <c r="C1" s="14" t="s">
        <v>866</v>
      </c>
      <c r="D1" s="14" t="s">
        <v>870</v>
      </c>
      <c r="E1" s="14" t="s">
        <v>0</v>
      </c>
      <c r="F1" s="14" t="s">
        <v>869</v>
      </c>
      <c r="G1" s="14" t="s">
        <v>409</v>
      </c>
      <c r="H1" s="14" t="s">
        <v>536</v>
      </c>
      <c r="I1" s="14" t="s">
        <v>537</v>
      </c>
      <c r="J1" s="14" t="s">
        <v>538</v>
      </c>
      <c r="K1" s="14" t="s">
        <v>868</v>
      </c>
      <c r="L1" s="14" t="s">
        <v>603</v>
      </c>
      <c r="M1" s="14" t="s">
        <v>180</v>
      </c>
      <c r="N1" s="14" t="s">
        <v>426</v>
      </c>
      <c r="O1" s="14" t="s">
        <v>425</v>
      </c>
      <c r="P1" s="18" t="s">
        <v>428</v>
      </c>
      <c r="Q1" s="18" t="s">
        <v>862</v>
      </c>
      <c r="R1" s="18" t="s">
        <v>429</v>
      </c>
      <c r="S1" s="14" t="s">
        <v>20</v>
      </c>
    </row>
    <row r="2" spans="1:19" s="15" customFormat="1" hidden="1" x14ac:dyDescent="0.3">
      <c r="A2" s="19">
        <v>1</v>
      </c>
      <c r="B2" s="19" t="s">
        <v>693</v>
      </c>
      <c r="C2" s="19" t="s">
        <v>867</v>
      </c>
      <c r="D2" s="19"/>
      <c r="E2" s="19" t="s">
        <v>401</v>
      </c>
      <c r="F2" s="19" t="s">
        <v>401</v>
      </c>
      <c r="G2" s="19" t="s">
        <v>410</v>
      </c>
      <c r="H2" s="19" t="s">
        <v>864</v>
      </c>
      <c r="I2" s="19" t="s">
        <v>864</v>
      </c>
      <c r="J2" s="19" t="s">
        <v>864</v>
      </c>
      <c r="K2" s="19"/>
      <c r="L2" s="19" t="s">
        <v>864</v>
      </c>
      <c r="M2" s="19" t="s">
        <v>864</v>
      </c>
      <c r="N2" s="19" t="e">
        <f>INDEX(PNGs!$J:J,MATCH($M2,PNGs!B:B,0))</f>
        <v>#N/A</v>
      </c>
      <c r="O2" s="19" t="s">
        <v>864</v>
      </c>
      <c r="P2" s="20" t="s">
        <v>864</v>
      </c>
      <c r="Q2" s="20" t="s">
        <v>864</v>
      </c>
      <c r="R2" s="20" t="s">
        <v>864</v>
      </c>
      <c r="S2" s="19"/>
    </row>
    <row r="3" spans="1:19" hidden="1" x14ac:dyDescent="0.3">
      <c r="A3" s="19">
        <v>2</v>
      </c>
      <c r="B3" s="19" t="s">
        <v>703</v>
      </c>
      <c r="C3" s="19" t="s">
        <v>867</v>
      </c>
      <c r="E3" s="19" t="s">
        <v>859</v>
      </c>
      <c r="F3" s="19" t="s">
        <v>174</v>
      </c>
      <c r="G3" s="19" t="s">
        <v>410</v>
      </c>
      <c r="H3" s="19" t="s">
        <v>864</v>
      </c>
      <c r="I3" s="19" t="s">
        <v>864</v>
      </c>
      <c r="J3" s="19" t="s">
        <v>864</v>
      </c>
      <c r="K3" s="19" t="s">
        <v>864</v>
      </c>
      <c r="L3" s="19" t="s">
        <v>864</v>
      </c>
      <c r="M3" s="19" t="s">
        <v>864</v>
      </c>
      <c r="N3" s="19" t="e">
        <f>INDEX(PNGs!$J:J,MATCH($M3,PNGs!B:B,0))</f>
        <v>#N/A</v>
      </c>
      <c r="O3" s="19" t="s">
        <v>864</v>
      </c>
      <c r="P3" s="20" t="s">
        <v>864</v>
      </c>
      <c r="Q3" s="20" t="s">
        <v>864</v>
      </c>
      <c r="R3" s="20" t="s">
        <v>864</v>
      </c>
    </row>
    <row r="4" spans="1:19" ht="28.8" hidden="1" x14ac:dyDescent="0.3">
      <c r="A4" s="21">
        <v>3</v>
      </c>
      <c r="B4" s="19" t="s">
        <v>694</v>
      </c>
      <c r="C4" s="21" t="s">
        <v>867</v>
      </c>
      <c r="D4" s="21"/>
      <c r="E4" s="19" t="s">
        <v>859</v>
      </c>
      <c r="F4" s="21" t="s">
        <v>860</v>
      </c>
      <c r="G4" s="21" t="s">
        <v>411</v>
      </c>
      <c r="H4" s="21" t="s">
        <v>864</v>
      </c>
      <c r="I4" s="21" t="s">
        <v>864</v>
      </c>
      <c r="J4" s="21" t="b">
        <v>0</v>
      </c>
      <c r="K4" s="21" t="b">
        <v>0</v>
      </c>
      <c r="L4" s="19" t="b">
        <v>0</v>
      </c>
      <c r="M4" s="19" t="s">
        <v>667</v>
      </c>
      <c r="N4" s="19" t="s">
        <v>682</v>
      </c>
      <c r="O4" s="32" t="s">
        <v>861</v>
      </c>
      <c r="P4" s="33">
        <v>45727</v>
      </c>
      <c r="Q4" s="33" t="s">
        <v>863</v>
      </c>
      <c r="R4" s="33"/>
      <c r="S4" s="21"/>
    </row>
    <row r="5" spans="1:19" ht="86.4" hidden="1" x14ac:dyDescent="0.3">
      <c r="A5" s="19">
        <v>4</v>
      </c>
      <c r="B5" s="19" t="s">
        <v>696</v>
      </c>
      <c r="C5" s="19" t="s">
        <v>48</v>
      </c>
      <c r="D5" s="21" t="s">
        <v>872</v>
      </c>
      <c r="E5" s="19" t="s">
        <v>859</v>
      </c>
      <c r="F5" s="19" t="s">
        <v>175</v>
      </c>
      <c r="G5" s="19" t="s">
        <v>412</v>
      </c>
      <c r="H5" s="19" t="s">
        <v>864</v>
      </c>
      <c r="I5" s="19" t="s">
        <v>864</v>
      </c>
      <c r="J5" s="19" t="s">
        <v>864</v>
      </c>
      <c r="M5" s="19" t="s">
        <v>178</v>
      </c>
      <c r="N5" s="19" t="str">
        <f>INDEX(PNGs!$J:J,MATCH($M5,PNGs!B:B,0))</f>
        <v>estimates_World.csv</v>
      </c>
      <c r="O5" s="19" t="s">
        <v>176</v>
      </c>
      <c r="P5" s="20" t="s">
        <v>430</v>
      </c>
      <c r="Q5" s="32" t="s">
        <v>865</v>
      </c>
      <c r="S5" s="19" t="s">
        <v>671</v>
      </c>
    </row>
    <row r="6" spans="1:19" ht="86.4" hidden="1" x14ac:dyDescent="0.3">
      <c r="A6" s="19">
        <v>4</v>
      </c>
      <c r="B6" s="19" t="s">
        <v>696</v>
      </c>
      <c r="C6" s="19" t="s">
        <v>48</v>
      </c>
      <c r="D6" s="21" t="s">
        <v>872</v>
      </c>
      <c r="E6" s="19" t="s">
        <v>859</v>
      </c>
      <c r="F6" s="19" t="s">
        <v>175</v>
      </c>
      <c r="G6" s="19" t="s">
        <v>412</v>
      </c>
      <c r="H6" s="19" t="s">
        <v>864</v>
      </c>
      <c r="I6" s="19" t="s">
        <v>864</v>
      </c>
      <c r="J6" s="19" t="s">
        <v>864</v>
      </c>
      <c r="M6" s="19" t="s">
        <v>179</v>
      </c>
      <c r="N6" s="19" t="str">
        <f>INDEX(PNGs!$J:J,MATCH($M6,PNGs!B:B,0))</f>
        <v>estimates_World.csv</v>
      </c>
      <c r="O6" s="19" t="s">
        <v>176</v>
      </c>
      <c r="P6" s="20" t="s">
        <v>430</v>
      </c>
      <c r="Q6" s="32" t="s">
        <v>865</v>
      </c>
    </row>
    <row r="7" spans="1:19" ht="86.4" hidden="1" x14ac:dyDescent="0.3">
      <c r="A7" s="19">
        <v>5</v>
      </c>
      <c r="B7" s="19" t="s">
        <v>697</v>
      </c>
      <c r="C7" s="19" t="s">
        <v>48</v>
      </c>
      <c r="D7" s="21" t="s">
        <v>872</v>
      </c>
      <c r="E7" s="19" t="s">
        <v>859</v>
      </c>
      <c r="F7" s="19" t="s">
        <v>175</v>
      </c>
      <c r="G7" s="19" t="s">
        <v>413</v>
      </c>
      <c r="H7" s="19" t="s">
        <v>864</v>
      </c>
      <c r="I7" s="19" t="s">
        <v>864</v>
      </c>
      <c r="J7" s="19" t="s">
        <v>864</v>
      </c>
      <c r="M7" s="19" t="s">
        <v>220</v>
      </c>
      <c r="N7" s="19" t="str">
        <f>INDEX(PNGs!$J:J,MATCH($M7,PNGs!B:B,0))</f>
        <v>estimates_World.csv</v>
      </c>
      <c r="O7" s="19" t="s">
        <v>176</v>
      </c>
      <c r="P7" s="20" t="s">
        <v>430</v>
      </c>
      <c r="Q7" s="32" t="s">
        <v>865</v>
      </c>
    </row>
    <row r="8" spans="1:19" ht="86.4" hidden="1" x14ac:dyDescent="0.3">
      <c r="A8" s="19">
        <v>6</v>
      </c>
      <c r="B8" s="19" t="s">
        <v>695</v>
      </c>
      <c r="C8" s="19" t="s">
        <v>48</v>
      </c>
      <c r="D8" s="21" t="s">
        <v>872</v>
      </c>
      <c r="E8" s="19" t="s">
        <v>859</v>
      </c>
      <c r="F8" s="19" t="s">
        <v>175</v>
      </c>
      <c r="G8" s="19" t="s">
        <v>414</v>
      </c>
      <c r="H8" s="19" t="s">
        <v>864</v>
      </c>
      <c r="I8" s="19" t="s">
        <v>864</v>
      </c>
      <c r="J8" s="19" t="s">
        <v>864</v>
      </c>
      <c r="M8" s="19" t="s">
        <v>221</v>
      </c>
      <c r="N8" s="19" t="str">
        <f>INDEX(PNGs!$J:J,MATCH($M8,PNGs!B:B,0))</f>
        <v>estimates_World.csv</v>
      </c>
      <c r="O8" s="19" t="s">
        <v>176</v>
      </c>
      <c r="P8" s="20" t="s">
        <v>430</v>
      </c>
      <c r="Q8" s="32" t="s">
        <v>865</v>
      </c>
    </row>
    <row r="9" spans="1:19" ht="86.4" hidden="1" x14ac:dyDescent="0.3">
      <c r="A9" s="19">
        <v>7</v>
      </c>
      <c r="B9" s="19" t="s">
        <v>698</v>
      </c>
      <c r="C9" s="19" t="s">
        <v>48</v>
      </c>
      <c r="D9" s="21" t="s">
        <v>872</v>
      </c>
      <c r="E9" s="19" t="s">
        <v>859</v>
      </c>
      <c r="F9" s="19" t="s">
        <v>413</v>
      </c>
      <c r="G9" s="19" t="s">
        <v>415</v>
      </c>
      <c r="H9" s="19" t="s">
        <v>864</v>
      </c>
      <c r="I9" s="19" t="s">
        <v>864</v>
      </c>
      <c r="J9" s="19" t="s">
        <v>864</v>
      </c>
      <c r="M9" s="32" t="s">
        <v>222</v>
      </c>
      <c r="N9" s="19" t="str">
        <f>INDEX(PNGs!$J:J,MATCH($M9,PNGs!B:B,0))</f>
        <v>estimates_WHO_region.csv</v>
      </c>
      <c r="O9" s="19" t="s">
        <v>176</v>
      </c>
      <c r="P9" s="20" t="s">
        <v>430</v>
      </c>
      <c r="Q9" s="32" t="s">
        <v>865</v>
      </c>
    </row>
    <row r="10" spans="1:19" ht="57.6" hidden="1" x14ac:dyDescent="0.3">
      <c r="A10" s="19">
        <v>8</v>
      </c>
      <c r="B10" s="19" t="s">
        <v>699</v>
      </c>
      <c r="C10" s="19" t="s">
        <v>48</v>
      </c>
      <c r="D10" s="21" t="s">
        <v>873</v>
      </c>
      <c r="E10" s="19" t="s">
        <v>859</v>
      </c>
      <c r="F10" s="19" t="s">
        <v>413</v>
      </c>
      <c r="G10" s="19" t="s">
        <v>416</v>
      </c>
      <c r="H10" s="19" t="s">
        <v>864</v>
      </c>
      <c r="I10" s="19" t="s">
        <v>864</v>
      </c>
      <c r="J10" s="19" t="s">
        <v>864</v>
      </c>
      <c r="M10" s="19" t="s">
        <v>223</v>
      </c>
      <c r="N10" s="19" t="str">
        <f>INDEX(PNGs!$J:J,MATCH($M10,PNGs!B:B,0))</f>
        <v>estimates_World_Bank_Income.csv</v>
      </c>
      <c r="O10" s="19" t="s">
        <v>176</v>
      </c>
      <c r="P10" s="20" t="s">
        <v>430</v>
      </c>
      <c r="Q10" s="32" t="s">
        <v>865</v>
      </c>
    </row>
    <row r="11" spans="1:19" ht="43.2" hidden="1" x14ac:dyDescent="0.3">
      <c r="A11" s="19">
        <v>9</v>
      </c>
      <c r="B11" s="19" t="s">
        <v>700</v>
      </c>
      <c r="C11" s="19" t="s">
        <v>48</v>
      </c>
      <c r="D11" s="19" t="s">
        <v>871</v>
      </c>
      <c r="E11" s="19" t="s">
        <v>859</v>
      </c>
      <c r="F11" s="19" t="s">
        <v>417</v>
      </c>
      <c r="G11" s="19" t="s">
        <v>424</v>
      </c>
      <c r="H11" s="19" t="s">
        <v>864</v>
      </c>
      <c r="I11" s="19" t="s">
        <v>864</v>
      </c>
      <c r="J11" s="19" t="s">
        <v>864</v>
      </c>
      <c r="M11" s="19" t="s">
        <v>226</v>
      </c>
      <c r="N11" s="19" t="str">
        <f>INDEX(PNGs!$J:J,MATCH($M11,PNGs!B:B,0))</f>
        <v>Say2014_LGH_MatCauseDeath.xlsx</v>
      </c>
      <c r="O11" s="19" t="s">
        <v>104</v>
      </c>
      <c r="P11" s="20" t="s">
        <v>431</v>
      </c>
      <c r="Q11" s="32" t="s">
        <v>865</v>
      </c>
    </row>
    <row r="12" spans="1:19" ht="43.2" hidden="1" x14ac:dyDescent="0.3">
      <c r="A12" s="19">
        <v>10</v>
      </c>
      <c r="B12" s="19" t="s">
        <v>701</v>
      </c>
      <c r="C12" s="19" t="s">
        <v>48</v>
      </c>
      <c r="D12" s="19" t="s">
        <v>871</v>
      </c>
      <c r="E12" s="19" t="s">
        <v>859</v>
      </c>
      <c r="F12" s="19" t="s">
        <v>417</v>
      </c>
      <c r="G12" s="19" t="s">
        <v>423</v>
      </c>
      <c r="H12" s="19" t="s">
        <v>864</v>
      </c>
      <c r="I12" s="19" t="s">
        <v>864</v>
      </c>
      <c r="J12" s="19" t="s">
        <v>864</v>
      </c>
      <c r="M12" s="19" t="s">
        <v>225</v>
      </c>
      <c r="N12" s="19" t="str">
        <f>INDEX(PNGs!$J:J,MATCH($M12,PNGs!B:B,0))</f>
        <v>Say2014_LGH_MatCauseDeath.xlsx</v>
      </c>
      <c r="O12" s="19" t="s">
        <v>104</v>
      </c>
      <c r="P12" s="20" t="s">
        <v>431</v>
      </c>
      <c r="Q12" s="32" t="s">
        <v>865</v>
      </c>
    </row>
    <row r="13" spans="1:19" s="15" customFormat="1" hidden="1" x14ac:dyDescent="0.3">
      <c r="A13" s="19">
        <v>11</v>
      </c>
      <c r="B13" s="19" t="s">
        <v>702</v>
      </c>
      <c r="C13" s="19" t="s">
        <v>867</v>
      </c>
      <c r="D13" s="19"/>
      <c r="E13" s="19" t="s">
        <v>2</v>
      </c>
      <c r="F13" s="19" t="s">
        <v>2</v>
      </c>
      <c r="G13" s="19" t="s">
        <v>410</v>
      </c>
      <c r="H13" s="19" t="s">
        <v>864</v>
      </c>
      <c r="I13" s="19" t="s">
        <v>864</v>
      </c>
      <c r="J13" s="19" t="s">
        <v>864</v>
      </c>
      <c r="K13" s="19"/>
      <c r="L13" s="19" t="s">
        <v>864</v>
      </c>
      <c r="M13" s="19" t="s">
        <v>864</v>
      </c>
      <c r="N13" s="19" t="e">
        <f>INDEX(PNGs!$J:J,MATCH($M13,PNGs!B:B,0))</f>
        <v>#N/A</v>
      </c>
      <c r="O13" s="19" t="s">
        <v>864</v>
      </c>
      <c r="P13" s="20" t="s">
        <v>864</v>
      </c>
      <c r="Q13" s="20" t="s">
        <v>864</v>
      </c>
      <c r="R13" s="20" t="s">
        <v>864</v>
      </c>
      <c r="S13" s="19"/>
    </row>
    <row r="14" spans="1:19" s="15" customFormat="1" hidden="1" x14ac:dyDescent="0.3">
      <c r="A14" s="19">
        <v>12</v>
      </c>
      <c r="B14" s="19" t="s">
        <v>705</v>
      </c>
      <c r="C14" s="19"/>
      <c r="D14" s="19"/>
      <c r="E14" s="19" t="s">
        <v>2</v>
      </c>
      <c r="F14" s="19" t="s">
        <v>1</v>
      </c>
      <c r="G14" s="19" t="s">
        <v>433</v>
      </c>
      <c r="H14" s="19" t="s">
        <v>864</v>
      </c>
      <c r="I14" s="19" t="s">
        <v>864</v>
      </c>
      <c r="J14" s="21" t="s">
        <v>864</v>
      </c>
      <c r="K14" s="21"/>
      <c r="L14" s="19" t="b">
        <v>0</v>
      </c>
      <c r="M14" s="19" t="s">
        <v>667</v>
      </c>
      <c r="N14" s="19">
        <f>INDEX(PNGs!$J:J,MATCH($M14,PNGs!B:B,0))</f>
        <v>0</v>
      </c>
      <c r="O14" s="35" t="s">
        <v>432</v>
      </c>
      <c r="P14" s="20" t="s">
        <v>53</v>
      </c>
      <c r="Q14" s="20"/>
      <c r="R14" s="20" t="s">
        <v>53</v>
      </c>
      <c r="S14" s="19"/>
    </row>
    <row r="15" spans="1:19" s="15" customFormat="1" ht="28.8" hidden="1" x14ac:dyDescent="0.3">
      <c r="A15" s="19">
        <v>13</v>
      </c>
      <c r="B15" s="19" t="s">
        <v>706</v>
      </c>
      <c r="C15" s="19"/>
      <c r="D15" s="19"/>
      <c r="E15" s="19" t="s">
        <v>2</v>
      </c>
      <c r="F15" s="19" t="s">
        <v>1</v>
      </c>
      <c r="G15" s="19" t="s">
        <v>434</v>
      </c>
      <c r="H15" s="19" t="s">
        <v>400</v>
      </c>
      <c r="I15" s="19" t="s">
        <v>864</v>
      </c>
      <c r="J15" s="19" t="s">
        <v>864</v>
      </c>
      <c r="K15" s="19"/>
      <c r="L15" s="19"/>
      <c r="M15" s="19" t="s">
        <v>3</v>
      </c>
      <c r="N15" s="19" t="str">
        <f>INDEX(PNGs!$J:J,MATCH($M15,PNGs!B:B,0))</f>
        <v>Stillbirth-rate-and-deaths_2023.xlsx</v>
      </c>
      <c r="O15" s="22" t="s">
        <v>432</v>
      </c>
      <c r="P15" s="20" t="s">
        <v>435</v>
      </c>
      <c r="Q15" s="20"/>
      <c r="R15" s="20"/>
      <c r="S15" s="19" t="s">
        <v>38</v>
      </c>
    </row>
    <row r="16" spans="1:19" s="15" customFormat="1" ht="28.8" hidden="1" x14ac:dyDescent="0.3">
      <c r="A16" s="19">
        <v>14</v>
      </c>
      <c r="B16" s="19" t="s">
        <v>707</v>
      </c>
      <c r="C16" s="19"/>
      <c r="D16" s="19"/>
      <c r="E16" s="19" t="s">
        <v>2</v>
      </c>
      <c r="F16" s="19" t="s">
        <v>436</v>
      </c>
      <c r="G16" s="19" t="s">
        <v>437</v>
      </c>
      <c r="H16" s="19" t="s">
        <v>864</v>
      </c>
      <c r="I16" s="19" t="s">
        <v>864</v>
      </c>
      <c r="J16" s="21" t="s">
        <v>864</v>
      </c>
      <c r="K16" s="21"/>
      <c r="L16" s="19" t="b">
        <v>0</v>
      </c>
      <c r="M16" s="19" t="s">
        <v>667</v>
      </c>
      <c r="N16" s="19">
        <f>INDEX(PNGs!$J:J,MATCH($M16,PNGs!B:B,0))</f>
        <v>0</v>
      </c>
      <c r="O16" s="22" t="s">
        <v>432</v>
      </c>
      <c r="P16" s="20" t="s">
        <v>53</v>
      </c>
      <c r="Q16" s="20"/>
      <c r="R16" s="20" t="s">
        <v>53</v>
      </c>
      <c r="S16" s="19"/>
    </row>
    <row r="17" spans="1:19" s="15" customFormat="1" hidden="1" x14ac:dyDescent="0.3">
      <c r="A17" s="21">
        <v>15</v>
      </c>
      <c r="B17" s="19" t="s">
        <v>708</v>
      </c>
      <c r="C17" s="21"/>
      <c r="D17" s="21"/>
      <c r="E17" s="21" t="s">
        <v>2</v>
      </c>
      <c r="F17" s="21" t="s">
        <v>438</v>
      </c>
      <c r="G17" s="21" t="s">
        <v>411</v>
      </c>
      <c r="H17" s="19" t="s">
        <v>864</v>
      </c>
      <c r="I17" s="19" t="s">
        <v>864</v>
      </c>
      <c r="J17" s="21" t="b">
        <v>0</v>
      </c>
      <c r="K17" s="21"/>
      <c r="L17" s="19" t="b">
        <v>0</v>
      </c>
      <c r="M17" s="19" t="s">
        <v>667</v>
      </c>
      <c r="N17" s="19">
        <f>INDEX(PNGs!$J:J,MATCH($M17,PNGs!B:B,0))</f>
        <v>0</v>
      </c>
      <c r="O17" s="22" t="s">
        <v>432</v>
      </c>
      <c r="P17" s="20" t="s">
        <v>53</v>
      </c>
      <c r="Q17" s="20"/>
      <c r="R17" s="20" t="s">
        <v>53</v>
      </c>
      <c r="S17" s="19"/>
    </row>
    <row r="18" spans="1:19" s="15" customFormat="1" hidden="1" x14ac:dyDescent="0.3">
      <c r="A18" s="21">
        <v>16</v>
      </c>
      <c r="B18" s="19" t="s">
        <v>709</v>
      </c>
      <c r="C18" s="21"/>
      <c r="D18" s="21"/>
      <c r="E18" s="21" t="s">
        <v>2</v>
      </c>
      <c r="F18" s="21" t="s">
        <v>439</v>
      </c>
      <c r="G18" s="21" t="s">
        <v>411</v>
      </c>
      <c r="H18" s="19" t="s">
        <v>864</v>
      </c>
      <c r="I18" s="19" t="s">
        <v>864</v>
      </c>
      <c r="J18" s="21" t="b">
        <v>0</v>
      </c>
      <c r="K18" s="21"/>
      <c r="L18" s="19" t="b">
        <v>0</v>
      </c>
      <c r="M18" s="19" t="s">
        <v>667</v>
      </c>
      <c r="N18" s="19">
        <f>INDEX(PNGs!$J:J,MATCH($M18,PNGs!B:B,0))</f>
        <v>0</v>
      </c>
      <c r="O18" s="22" t="s">
        <v>432</v>
      </c>
      <c r="P18" s="20" t="s">
        <v>53</v>
      </c>
      <c r="Q18" s="20"/>
      <c r="R18" s="20" t="s">
        <v>53</v>
      </c>
      <c r="S18" s="19"/>
    </row>
    <row r="19" spans="1:19" s="15" customFormat="1" hidden="1" x14ac:dyDescent="0.3">
      <c r="A19" s="21">
        <v>17</v>
      </c>
      <c r="B19" s="19" t="s">
        <v>711</v>
      </c>
      <c r="C19" s="21"/>
      <c r="D19" s="21"/>
      <c r="E19" s="21" t="s">
        <v>2</v>
      </c>
      <c r="F19" s="21" t="s">
        <v>440</v>
      </c>
      <c r="G19" s="21" t="s">
        <v>411</v>
      </c>
      <c r="H19" s="19" t="s">
        <v>864</v>
      </c>
      <c r="I19" s="19" t="s">
        <v>864</v>
      </c>
      <c r="J19" s="21" t="b">
        <v>0</v>
      </c>
      <c r="K19" s="21"/>
      <c r="L19" s="19" t="b">
        <v>0</v>
      </c>
      <c r="M19" s="19" t="s">
        <v>667</v>
      </c>
      <c r="N19" s="19">
        <f>INDEX(PNGs!$J:J,MATCH($M19,PNGs!B:B,0))</f>
        <v>0</v>
      </c>
      <c r="O19" s="22" t="s">
        <v>432</v>
      </c>
      <c r="P19" s="20" t="s">
        <v>53</v>
      </c>
      <c r="Q19" s="20"/>
      <c r="R19" s="20" t="s">
        <v>53</v>
      </c>
      <c r="S19" s="19"/>
    </row>
    <row r="20" spans="1:19" s="15" customFormat="1" ht="28.8" hidden="1" x14ac:dyDescent="0.3">
      <c r="A20" s="19">
        <v>18</v>
      </c>
      <c r="B20" s="19" t="s">
        <v>710</v>
      </c>
      <c r="C20" s="19"/>
      <c r="D20" s="19"/>
      <c r="E20" s="19" t="s">
        <v>2</v>
      </c>
      <c r="F20" s="19" t="s">
        <v>441</v>
      </c>
      <c r="G20" s="19" t="s">
        <v>442</v>
      </c>
      <c r="H20" s="19" t="s">
        <v>864</v>
      </c>
      <c r="I20" s="19" t="s">
        <v>864</v>
      </c>
      <c r="J20" s="21" t="s">
        <v>864</v>
      </c>
      <c r="K20" s="21"/>
      <c r="L20" s="19" t="b">
        <v>0</v>
      </c>
      <c r="M20" s="19" t="s">
        <v>667</v>
      </c>
      <c r="N20" s="19">
        <f>INDEX(PNGs!$J:J,MATCH($M20,PNGs!B:B,0))</f>
        <v>0</v>
      </c>
      <c r="O20" s="22" t="s">
        <v>432</v>
      </c>
      <c r="P20" s="20" t="s">
        <v>53</v>
      </c>
      <c r="Q20" s="20"/>
      <c r="R20" s="20" t="s">
        <v>53</v>
      </c>
      <c r="S20" s="19"/>
    </row>
    <row r="21" spans="1:19" s="15" customFormat="1" hidden="1" x14ac:dyDescent="0.3">
      <c r="A21" s="19">
        <v>19</v>
      </c>
      <c r="B21" s="19" t="s">
        <v>704</v>
      </c>
      <c r="C21" s="19" t="s">
        <v>867</v>
      </c>
      <c r="D21" s="19"/>
      <c r="E21" s="19" t="s">
        <v>9</v>
      </c>
      <c r="F21" s="19" t="s">
        <v>9</v>
      </c>
      <c r="G21" s="19" t="s">
        <v>410</v>
      </c>
      <c r="H21" s="19" t="s">
        <v>864</v>
      </c>
      <c r="I21" s="19" t="s">
        <v>864</v>
      </c>
      <c r="J21" s="19" t="s">
        <v>864</v>
      </c>
      <c r="K21" s="19"/>
      <c r="L21" s="19" t="s">
        <v>864</v>
      </c>
      <c r="M21" s="19" t="s">
        <v>864</v>
      </c>
      <c r="N21" s="19" t="e">
        <f>INDEX(PNGs!$J:J,MATCH($M21,PNGs!B:B,0))</f>
        <v>#N/A</v>
      </c>
      <c r="O21" s="22" t="s">
        <v>864</v>
      </c>
      <c r="P21" s="20" t="s">
        <v>864</v>
      </c>
      <c r="Q21" s="20" t="s">
        <v>864</v>
      </c>
      <c r="R21" s="20" t="s">
        <v>864</v>
      </c>
      <c r="S21" s="19"/>
    </row>
    <row r="22" spans="1:19" s="15" customFormat="1" hidden="1" x14ac:dyDescent="0.3">
      <c r="A22" s="21">
        <v>20</v>
      </c>
      <c r="B22" s="19" t="s">
        <v>712</v>
      </c>
      <c r="C22" s="21"/>
      <c r="D22" s="21"/>
      <c r="E22" s="21" t="s">
        <v>9</v>
      </c>
      <c r="F22" s="21" t="s">
        <v>9</v>
      </c>
      <c r="G22" s="21" t="s">
        <v>443</v>
      </c>
      <c r="H22" s="19" t="s">
        <v>864</v>
      </c>
      <c r="I22" s="19" t="s">
        <v>864</v>
      </c>
      <c r="J22" s="21" t="b">
        <v>0</v>
      </c>
      <c r="K22" s="21"/>
      <c r="L22" s="19" t="b">
        <v>0</v>
      </c>
      <c r="M22" s="19" t="s">
        <v>667</v>
      </c>
      <c r="N22" s="35" t="s">
        <v>444</v>
      </c>
      <c r="O22" s="22" t="s">
        <v>399</v>
      </c>
      <c r="P22" s="20"/>
      <c r="Q22" s="20"/>
      <c r="R22" s="20" t="s">
        <v>504</v>
      </c>
      <c r="S22" s="19"/>
    </row>
    <row r="23" spans="1:19" s="15" customFormat="1" ht="28.8" hidden="1" x14ac:dyDescent="0.3">
      <c r="A23" s="19">
        <v>21</v>
      </c>
      <c r="B23" s="19" t="s">
        <v>713</v>
      </c>
      <c r="C23" s="19"/>
      <c r="D23" s="19"/>
      <c r="E23" s="19" t="s">
        <v>9</v>
      </c>
      <c r="F23" s="19" t="s">
        <v>445</v>
      </c>
      <c r="G23" s="19" t="s">
        <v>446</v>
      </c>
      <c r="H23" s="19" t="s">
        <v>400</v>
      </c>
      <c r="I23" s="19" t="s">
        <v>864</v>
      </c>
      <c r="J23" s="19" t="s">
        <v>864</v>
      </c>
      <c r="K23" s="19"/>
      <c r="L23" s="19"/>
      <c r="M23" s="19" t="s">
        <v>13</v>
      </c>
      <c r="N23" s="19" t="str">
        <f>INDEX(PNGs!$J:J,MATCH($M23,PNGs!B:B,0))</f>
        <v>UNIGME-2023-SDGRegion-Rates-Deaths-Under-five.xlsx</v>
      </c>
      <c r="O23" s="22" t="s">
        <v>399</v>
      </c>
      <c r="P23" s="20" t="s">
        <v>435</v>
      </c>
      <c r="Q23" s="20"/>
      <c r="R23" s="20" t="s">
        <v>504</v>
      </c>
      <c r="S23" s="19" t="s">
        <v>38</v>
      </c>
    </row>
    <row r="24" spans="1:19" s="15" customFormat="1" ht="28.8" hidden="1" x14ac:dyDescent="0.3">
      <c r="A24" s="19">
        <v>21</v>
      </c>
      <c r="B24" s="19" t="s">
        <v>713</v>
      </c>
      <c r="C24" s="19"/>
      <c r="D24" s="19"/>
      <c r="E24" s="19" t="s">
        <v>9</v>
      </c>
      <c r="F24" s="19" t="s">
        <v>445</v>
      </c>
      <c r="G24" s="19" t="s">
        <v>446</v>
      </c>
      <c r="H24" s="19" t="s">
        <v>400</v>
      </c>
      <c r="I24" s="19" t="s">
        <v>864</v>
      </c>
      <c r="J24" s="19" t="s">
        <v>864</v>
      </c>
      <c r="K24" s="19"/>
      <c r="L24" s="19"/>
      <c r="M24" s="19" t="s">
        <v>12</v>
      </c>
      <c r="N24" s="19" t="str">
        <f>INDEX(PNGs!$J:J,MATCH($M24,PNGs!B:B,0))</f>
        <v>UNIGME-2023-SDGRegion-Rates-Deaths-Under-five.xlsx</v>
      </c>
      <c r="O24" s="22" t="s">
        <v>399</v>
      </c>
      <c r="P24" s="20" t="s">
        <v>435</v>
      </c>
      <c r="Q24" s="20"/>
      <c r="R24" s="20" t="s">
        <v>504</v>
      </c>
      <c r="S24" s="19" t="s">
        <v>38</v>
      </c>
    </row>
    <row r="25" spans="1:19" s="15" customFormat="1" ht="57.6" hidden="1" x14ac:dyDescent="0.3">
      <c r="A25" s="19">
        <v>22</v>
      </c>
      <c r="B25" s="19" t="s">
        <v>714</v>
      </c>
      <c r="C25" s="19"/>
      <c r="D25" s="19"/>
      <c r="E25" s="19" t="s">
        <v>9</v>
      </c>
      <c r="F25" s="19" t="s">
        <v>445</v>
      </c>
      <c r="G25" s="19" t="s">
        <v>447</v>
      </c>
      <c r="H25" s="19" t="s">
        <v>400</v>
      </c>
      <c r="I25" s="19" t="s">
        <v>864</v>
      </c>
      <c r="J25" s="19" t="s">
        <v>864</v>
      </c>
      <c r="K25" s="19"/>
      <c r="L25" s="19"/>
      <c r="M25" s="19" t="s">
        <v>15</v>
      </c>
      <c r="N25" s="19" t="str">
        <f>INDEX(PNGs!$J:J,MATCH($M25,PNGs!B:B,0))</f>
        <v>UNIGME-2023-SDGRegion-Rates-Deaths-Under-five.xlsx</v>
      </c>
      <c r="O25" s="22" t="s">
        <v>399</v>
      </c>
      <c r="P25" s="20" t="s">
        <v>435</v>
      </c>
      <c r="Q25" s="20"/>
      <c r="R25" s="20" t="s">
        <v>504</v>
      </c>
      <c r="S25" s="19" t="s">
        <v>38</v>
      </c>
    </row>
    <row r="26" spans="1:19" s="15" customFormat="1" ht="57.6" hidden="1" x14ac:dyDescent="0.3">
      <c r="A26" s="19">
        <v>22</v>
      </c>
      <c r="B26" s="19" t="s">
        <v>714</v>
      </c>
      <c r="C26" s="19"/>
      <c r="D26" s="19"/>
      <c r="E26" s="19" t="s">
        <v>9</v>
      </c>
      <c r="F26" s="19" t="s">
        <v>445</v>
      </c>
      <c r="G26" s="19" t="s">
        <v>447</v>
      </c>
      <c r="H26" s="19" t="s">
        <v>400</v>
      </c>
      <c r="I26" s="19" t="s">
        <v>864</v>
      </c>
      <c r="J26" s="19" t="s">
        <v>864</v>
      </c>
      <c r="K26" s="19"/>
      <c r="L26" s="19"/>
      <c r="M26" s="19" t="s">
        <v>14</v>
      </c>
      <c r="N26" s="19" t="str">
        <f>INDEX(PNGs!$J:J,MATCH($M26,PNGs!B:B,0))</f>
        <v>UNIGME-2023-SDGRegion-Rates-Deaths-Under-five.xlsx</v>
      </c>
      <c r="O26" s="22" t="s">
        <v>399</v>
      </c>
      <c r="P26" s="20" t="s">
        <v>435</v>
      </c>
      <c r="Q26" s="20"/>
      <c r="R26" s="20" t="s">
        <v>504</v>
      </c>
      <c r="S26" s="19" t="s">
        <v>38</v>
      </c>
    </row>
    <row r="27" spans="1:19" s="15" customFormat="1" ht="72" hidden="1" x14ac:dyDescent="0.3">
      <c r="A27" s="19">
        <v>23</v>
      </c>
      <c r="B27" s="19" t="s">
        <v>715</v>
      </c>
      <c r="C27" s="19"/>
      <c r="D27" s="19"/>
      <c r="E27" s="19" t="s">
        <v>9</v>
      </c>
      <c r="F27" s="19" t="s">
        <v>445</v>
      </c>
      <c r="G27" s="19" t="s">
        <v>448</v>
      </c>
      <c r="H27" s="19" t="s">
        <v>400</v>
      </c>
      <c r="I27" s="19" t="s">
        <v>864</v>
      </c>
      <c r="J27" s="19" t="s">
        <v>864</v>
      </c>
      <c r="K27" s="19"/>
      <c r="L27" s="19"/>
      <c r="M27" s="19" t="s">
        <v>17</v>
      </c>
      <c r="N27" s="19" t="str">
        <f>INDEX(PNGs!$J:J,MATCH($M27,PNGs!B:B,0))</f>
        <v>UNIGME-2023-SDGRegion-Rates-Deaths-Under-five.xlsx</v>
      </c>
      <c r="O27" s="22" t="s">
        <v>399</v>
      </c>
      <c r="P27" s="20" t="s">
        <v>435</v>
      </c>
      <c r="Q27" s="20"/>
      <c r="R27" s="20" t="s">
        <v>504</v>
      </c>
      <c r="S27" s="19" t="s">
        <v>38</v>
      </c>
    </row>
    <row r="28" spans="1:19" s="15" customFormat="1" ht="72" hidden="1" x14ac:dyDescent="0.3">
      <c r="A28" s="19">
        <v>23</v>
      </c>
      <c r="B28" s="19" t="s">
        <v>715</v>
      </c>
      <c r="C28" s="19"/>
      <c r="D28" s="19"/>
      <c r="E28" s="19" t="s">
        <v>9</v>
      </c>
      <c r="F28" s="19" t="s">
        <v>445</v>
      </c>
      <c r="G28" s="19" t="s">
        <v>448</v>
      </c>
      <c r="H28" s="19" t="s">
        <v>400</v>
      </c>
      <c r="I28" s="19" t="s">
        <v>864</v>
      </c>
      <c r="J28" s="19" t="s">
        <v>864</v>
      </c>
      <c r="K28" s="19"/>
      <c r="L28" s="19"/>
      <c r="M28" s="19" t="s">
        <v>16</v>
      </c>
      <c r="N28" s="19" t="str">
        <f>INDEX(PNGs!$J:J,MATCH($M28,PNGs!B:B,0))</f>
        <v>UNIGME-2023-SDGRegion-Rates-Deaths-Under-five.xlsx</v>
      </c>
      <c r="O28" s="22" t="s">
        <v>399</v>
      </c>
      <c r="P28" s="20" t="s">
        <v>435</v>
      </c>
      <c r="Q28" s="20"/>
      <c r="R28" s="20" t="s">
        <v>504</v>
      </c>
      <c r="S28" s="19" t="s">
        <v>38</v>
      </c>
    </row>
    <row r="29" spans="1:19" s="15" customFormat="1" ht="100.8" hidden="1" x14ac:dyDescent="0.3">
      <c r="A29" s="19">
        <v>24</v>
      </c>
      <c r="B29" s="19" t="s">
        <v>716</v>
      </c>
      <c r="C29" s="19"/>
      <c r="D29" s="19"/>
      <c r="E29" s="19" t="s">
        <v>9</v>
      </c>
      <c r="F29" s="19" t="s">
        <v>445</v>
      </c>
      <c r="G29" s="19" t="s">
        <v>452</v>
      </c>
      <c r="H29" s="19" t="s">
        <v>400</v>
      </c>
      <c r="I29" s="19" t="s">
        <v>864</v>
      </c>
      <c r="J29" s="19" t="s">
        <v>864</v>
      </c>
      <c r="K29" s="19"/>
      <c r="L29" s="19"/>
      <c r="M29" s="19" t="s">
        <v>19</v>
      </c>
      <c r="N29" s="19" t="str">
        <f>INDEX(PNGs!$J:J,MATCH($M29,PNGs!B:B,0))</f>
        <v>UNIGME-2023-SDGRegion-Rates-Deaths-Under-five.xlsx</v>
      </c>
      <c r="O29" s="22" t="s">
        <v>399</v>
      </c>
      <c r="P29" s="20" t="s">
        <v>435</v>
      </c>
      <c r="Q29" s="20"/>
      <c r="R29" s="20" t="s">
        <v>504</v>
      </c>
      <c r="S29" s="19" t="s">
        <v>38</v>
      </c>
    </row>
    <row r="30" spans="1:19" s="15" customFormat="1" ht="100.8" hidden="1" x14ac:dyDescent="0.3">
      <c r="A30" s="19">
        <v>24</v>
      </c>
      <c r="B30" s="19" t="s">
        <v>716</v>
      </c>
      <c r="C30" s="19"/>
      <c r="D30" s="19"/>
      <c r="E30" s="19" t="s">
        <v>9</v>
      </c>
      <c r="F30" s="19" t="s">
        <v>445</v>
      </c>
      <c r="G30" s="19" t="s">
        <v>452</v>
      </c>
      <c r="H30" s="19" t="s">
        <v>400</v>
      </c>
      <c r="I30" s="19" t="s">
        <v>864</v>
      </c>
      <c r="J30" s="19" t="s">
        <v>864</v>
      </c>
      <c r="K30" s="19"/>
      <c r="L30" s="19"/>
      <c r="M30" s="19" t="s">
        <v>18</v>
      </c>
      <c r="N30" s="19" t="str">
        <f>INDEX(PNGs!$J:J,MATCH($M30,PNGs!B:B,0))</f>
        <v>UNIGME-2023-SDGRegion-Rates-Deaths-Under-five.xlsx</v>
      </c>
      <c r="O30" s="22" t="s">
        <v>399</v>
      </c>
      <c r="P30" s="20" t="s">
        <v>435</v>
      </c>
      <c r="Q30" s="20"/>
      <c r="R30" s="20" t="s">
        <v>504</v>
      </c>
      <c r="S30" s="19" t="s">
        <v>38</v>
      </c>
    </row>
    <row r="31" spans="1:19" s="15" customFormat="1" hidden="1" x14ac:dyDescent="0.3">
      <c r="A31" s="19">
        <v>25</v>
      </c>
      <c r="B31" s="19" t="s">
        <v>717</v>
      </c>
      <c r="C31" s="19"/>
      <c r="D31" s="19"/>
      <c r="E31" s="19" t="s">
        <v>9</v>
      </c>
      <c r="F31" s="19" t="s">
        <v>445</v>
      </c>
      <c r="G31" s="19" t="s">
        <v>456</v>
      </c>
      <c r="H31" s="19" t="s">
        <v>400</v>
      </c>
      <c r="I31" s="19" t="s">
        <v>864</v>
      </c>
      <c r="J31" s="19" t="s">
        <v>864</v>
      </c>
      <c r="K31" s="19"/>
      <c r="L31" s="19"/>
      <c r="M31" s="19" t="s">
        <v>4</v>
      </c>
      <c r="N31" s="19" t="str">
        <f>INDEX(PNGs!$J:J,MATCH($M31,PNGs!B:B,0))</f>
        <v>UNIGME-2023-SDGRegion-Rates-Deaths-Under-five.xlsx</v>
      </c>
      <c r="O31" s="22" t="s">
        <v>399</v>
      </c>
      <c r="P31" s="20" t="s">
        <v>435</v>
      </c>
      <c r="Q31" s="20"/>
      <c r="R31" s="20" t="s">
        <v>504</v>
      </c>
      <c r="S31" s="19" t="s">
        <v>38</v>
      </c>
    </row>
    <row r="32" spans="1:19" s="15" customFormat="1" ht="43.2" hidden="1" x14ac:dyDescent="0.3">
      <c r="A32" s="19">
        <v>26</v>
      </c>
      <c r="B32" s="19" t="s">
        <v>718</v>
      </c>
      <c r="C32" s="19"/>
      <c r="D32" s="19"/>
      <c r="E32" s="19" t="s">
        <v>9</v>
      </c>
      <c r="F32" s="19" t="s">
        <v>445</v>
      </c>
      <c r="G32" s="19" t="s">
        <v>453</v>
      </c>
      <c r="H32" s="19" t="s">
        <v>400</v>
      </c>
      <c r="I32" s="19" t="s">
        <v>864</v>
      </c>
      <c r="J32" s="19" t="s">
        <v>864</v>
      </c>
      <c r="K32" s="19"/>
      <c r="L32" s="19"/>
      <c r="M32" s="19" t="s">
        <v>5</v>
      </c>
      <c r="N32" s="19" t="str">
        <f>INDEX(PNGs!$J:J,MATCH($M32,PNGs!B:B,0))</f>
        <v>UNIGME-2023-SDGRegion-Rates-Deaths-Under-five.xlsx</v>
      </c>
      <c r="O32" s="22" t="s">
        <v>399</v>
      </c>
      <c r="P32" s="20" t="s">
        <v>435</v>
      </c>
      <c r="Q32" s="20"/>
      <c r="R32" s="20" t="s">
        <v>504</v>
      </c>
      <c r="S32" s="19" t="s">
        <v>38</v>
      </c>
    </row>
    <row r="33" spans="1:19" s="15" customFormat="1" ht="43.2" hidden="1" x14ac:dyDescent="0.3">
      <c r="A33" s="19">
        <v>27</v>
      </c>
      <c r="B33" s="19" t="s">
        <v>719</v>
      </c>
      <c r="C33" s="19"/>
      <c r="D33" s="19"/>
      <c r="E33" s="19" t="s">
        <v>9</v>
      </c>
      <c r="F33" s="19" t="s">
        <v>445</v>
      </c>
      <c r="G33" s="19" t="s">
        <v>454</v>
      </c>
      <c r="H33" s="19" t="s">
        <v>400</v>
      </c>
      <c r="I33" s="19" t="s">
        <v>864</v>
      </c>
      <c r="J33" s="21" t="s">
        <v>864</v>
      </c>
      <c r="K33" s="21"/>
      <c r="L33" s="19"/>
      <c r="M33" s="19" t="s">
        <v>6</v>
      </c>
      <c r="N33" s="19" t="str">
        <f>INDEX(PNGs!$J:J,MATCH($M33,PNGs!B:B,0))</f>
        <v>UNIGME-2023-SDGRegion-Rates-Deaths-Under-five.xlsx</v>
      </c>
      <c r="O33" s="22" t="s">
        <v>399</v>
      </c>
      <c r="P33" s="20" t="s">
        <v>435</v>
      </c>
      <c r="Q33" s="20"/>
      <c r="R33" s="20" t="s">
        <v>504</v>
      </c>
      <c r="S33" s="21" t="s">
        <v>670</v>
      </c>
    </row>
    <row r="34" spans="1:19" s="15" customFormat="1" ht="57.6" hidden="1" x14ac:dyDescent="0.3">
      <c r="A34" s="21">
        <v>28</v>
      </c>
      <c r="B34" s="19" t="s">
        <v>720</v>
      </c>
      <c r="C34" s="21"/>
      <c r="D34" s="21"/>
      <c r="E34" s="21" t="s">
        <v>9</v>
      </c>
      <c r="F34" s="21" t="s">
        <v>445</v>
      </c>
      <c r="G34" s="21" t="s">
        <v>455</v>
      </c>
      <c r="H34" s="19" t="s">
        <v>400</v>
      </c>
      <c r="I34" s="21" t="s">
        <v>864</v>
      </c>
      <c r="J34" s="21" t="s">
        <v>864</v>
      </c>
      <c r="K34" s="21"/>
      <c r="L34" s="21"/>
      <c r="M34" s="19" t="s">
        <v>198</v>
      </c>
      <c r="N34" s="19" t="str">
        <f>INDEX(PNGs!$J:J,MATCH($M34,PNGs!B:B,0))</f>
        <v>UNIGME-2023-SDGRegion-Rates-Deaths-Under-five.xlsx</v>
      </c>
      <c r="O34" s="22" t="s">
        <v>399</v>
      </c>
      <c r="P34" s="20" t="s">
        <v>435</v>
      </c>
      <c r="Q34" s="20"/>
      <c r="R34" s="20" t="s">
        <v>504</v>
      </c>
      <c r="S34" s="21"/>
    </row>
    <row r="35" spans="1:19" s="15" customFormat="1" hidden="1" x14ac:dyDescent="0.3">
      <c r="A35" s="19">
        <v>29</v>
      </c>
      <c r="B35" s="19" t="s">
        <v>721</v>
      </c>
      <c r="C35" s="19"/>
      <c r="D35" s="19"/>
      <c r="E35" s="19" t="s">
        <v>9</v>
      </c>
      <c r="F35" s="19" t="s">
        <v>445</v>
      </c>
      <c r="G35" s="19" t="s">
        <v>458</v>
      </c>
      <c r="H35" s="19" t="s">
        <v>400</v>
      </c>
      <c r="I35" s="19" t="s">
        <v>864</v>
      </c>
      <c r="J35" s="19" t="s">
        <v>864</v>
      </c>
      <c r="K35" s="19"/>
      <c r="L35" s="19"/>
      <c r="M35" s="19" t="s">
        <v>34</v>
      </c>
      <c r="N35" s="19" t="str">
        <f>INDEX(PNGs!$J:J,MATCH($M35,PNGs!B:B,0))</f>
        <v>UNIGME-2023-SDGRegion-Rates-Deaths-Under-five.xlsx</v>
      </c>
      <c r="O35" s="22" t="s">
        <v>399</v>
      </c>
      <c r="P35" s="20" t="s">
        <v>435</v>
      </c>
      <c r="Q35" s="20"/>
      <c r="R35" s="20" t="s">
        <v>504</v>
      </c>
      <c r="S35" s="19" t="s">
        <v>38</v>
      </c>
    </row>
    <row r="36" spans="1:19" s="15" customFormat="1" ht="28.8" hidden="1" x14ac:dyDescent="0.3">
      <c r="A36" s="19">
        <v>30</v>
      </c>
      <c r="B36" s="19" t="s">
        <v>722</v>
      </c>
      <c r="C36" s="19"/>
      <c r="D36" s="19"/>
      <c r="E36" s="19" t="s">
        <v>9</v>
      </c>
      <c r="F36" s="19" t="s">
        <v>445</v>
      </c>
      <c r="G36" s="19" t="s">
        <v>460</v>
      </c>
      <c r="H36" s="19" t="s">
        <v>400</v>
      </c>
      <c r="I36" s="19" t="s">
        <v>864</v>
      </c>
      <c r="J36" s="19" t="s">
        <v>864</v>
      </c>
      <c r="K36" s="19"/>
      <c r="L36" s="19"/>
      <c r="M36" s="19" t="s">
        <v>7</v>
      </c>
      <c r="N36" s="19" t="str">
        <f>INDEX(PNGs!$J:J,MATCH($M36,PNGs!B:B,0))</f>
        <v>UNIGME-2023-SDGRegion-Rates-Deaths-Under-five.xlsx</v>
      </c>
      <c r="O36" s="22" t="s">
        <v>399</v>
      </c>
      <c r="P36" s="20" t="s">
        <v>435</v>
      </c>
      <c r="Q36" s="20"/>
      <c r="R36" s="20" t="s">
        <v>504</v>
      </c>
      <c r="S36" s="19" t="s">
        <v>38</v>
      </c>
    </row>
    <row r="37" spans="1:19" s="15" customFormat="1" ht="43.2" hidden="1" x14ac:dyDescent="0.3">
      <c r="A37" s="21">
        <v>31</v>
      </c>
      <c r="B37" s="19" t="s">
        <v>723</v>
      </c>
      <c r="C37" s="21"/>
      <c r="D37" s="21"/>
      <c r="E37" s="21" t="s">
        <v>9</v>
      </c>
      <c r="F37" s="21" t="s">
        <v>445</v>
      </c>
      <c r="G37" s="21" t="s">
        <v>459</v>
      </c>
      <c r="H37" s="19" t="s">
        <v>400</v>
      </c>
      <c r="I37" s="21" t="s">
        <v>864</v>
      </c>
      <c r="J37" s="21" t="s">
        <v>864</v>
      </c>
      <c r="K37" s="21"/>
      <c r="L37" s="21"/>
      <c r="M37" s="19" t="s">
        <v>8</v>
      </c>
      <c r="N37" s="19" t="str">
        <f>INDEX(PNGs!$J:J,MATCH($M37,PNGs!B:B,0))</f>
        <v>UNIGME-2023-SDGRegion-Rates-Deaths-Under-five.xlsx</v>
      </c>
      <c r="O37" s="22" t="s">
        <v>399</v>
      </c>
      <c r="P37" s="20" t="s">
        <v>435</v>
      </c>
      <c r="Q37" s="20"/>
      <c r="R37" s="20" t="s">
        <v>504</v>
      </c>
      <c r="S37" s="21" t="s">
        <v>670</v>
      </c>
    </row>
    <row r="38" spans="1:19" s="15" customFormat="1" ht="57.6" hidden="1" x14ac:dyDescent="0.3">
      <c r="A38" s="21">
        <v>32</v>
      </c>
      <c r="B38" s="19" t="s">
        <v>724</v>
      </c>
      <c r="C38" s="21"/>
      <c r="D38" s="21"/>
      <c r="E38" s="21" t="s">
        <v>9</v>
      </c>
      <c r="F38" s="21" t="s">
        <v>445</v>
      </c>
      <c r="G38" s="21" t="s">
        <v>457</v>
      </c>
      <c r="H38" s="19" t="s">
        <v>400</v>
      </c>
      <c r="I38" s="21" t="s">
        <v>864</v>
      </c>
      <c r="J38" s="21" t="s">
        <v>864</v>
      </c>
      <c r="K38" s="21"/>
      <c r="L38" s="21"/>
      <c r="M38" s="19" t="s">
        <v>200</v>
      </c>
      <c r="N38" s="19" t="str">
        <f>INDEX(PNGs!$J:J,MATCH($M38,PNGs!B:B,0))</f>
        <v>UNIGME-2023-SDGRegion-Rates-Deaths-Under-five.xlsx</v>
      </c>
      <c r="O38" s="22" t="s">
        <v>399</v>
      </c>
      <c r="P38" s="20" t="s">
        <v>435</v>
      </c>
      <c r="Q38" s="20"/>
      <c r="R38" s="20" t="s">
        <v>504</v>
      </c>
      <c r="S38" s="21"/>
    </row>
    <row r="39" spans="1:19" s="15" customFormat="1" ht="28.8" hidden="1" x14ac:dyDescent="0.3">
      <c r="A39" s="19">
        <v>33</v>
      </c>
      <c r="B39" s="19" t="s">
        <v>725</v>
      </c>
      <c r="C39" s="19"/>
      <c r="D39" s="19"/>
      <c r="E39" s="19" t="s">
        <v>9</v>
      </c>
      <c r="F39" s="19" t="s">
        <v>23</v>
      </c>
      <c r="G39" s="19" t="s">
        <v>461</v>
      </c>
      <c r="H39" s="19" t="s">
        <v>400</v>
      </c>
      <c r="I39" s="19" t="s">
        <v>864</v>
      </c>
      <c r="J39" s="21" t="s">
        <v>864</v>
      </c>
      <c r="K39" s="21"/>
      <c r="L39" s="19"/>
      <c r="M39" s="19" t="s">
        <v>21</v>
      </c>
      <c r="N39" s="19" t="str">
        <f>INDEX(PNGs!$J:J,MATCH($M39,PNGs!B:B,0))</f>
        <v>fig 1 from 2023 unigme report (pg 12)</v>
      </c>
      <c r="O39" s="22" t="s">
        <v>399</v>
      </c>
      <c r="P39" s="20" t="s">
        <v>435</v>
      </c>
      <c r="Q39" s="20"/>
      <c r="R39" s="20" t="s">
        <v>504</v>
      </c>
      <c r="S39" s="19" t="s">
        <v>669</v>
      </c>
    </row>
    <row r="40" spans="1:19" s="15" customFormat="1" ht="43.2" hidden="1" x14ac:dyDescent="0.3">
      <c r="A40" s="19">
        <v>33</v>
      </c>
      <c r="B40" s="19" t="s">
        <v>725</v>
      </c>
      <c r="C40" s="19"/>
      <c r="D40" s="19"/>
      <c r="E40" s="19" t="s">
        <v>9</v>
      </c>
      <c r="F40" s="19" t="s">
        <v>23</v>
      </c>
      <c r="G40" s="19" t="s">
        <v>461</v>
      </c>
      <c r="H40" s="19" t="s">
        <v>400</v>
      </c>
      <c r="I40" s="19" t="s">
        <v>864</v>
      </c>
      <c r="J40" s="21" t="s">
        <v>864</v>
      </c>
      <c r="K40" s="21"/>
      <c r="L40" s="19"/>
      <c r="M40" s="19" t="s">
        <v>22</v>
      </c>
      <c r="N40" s="19" t="str">
        <f>INDEX(PNGs!$J:J,MATCH($M40,PNGs!B:B,0))</f>
        <v>fig 1 from 2023 unigme report (pg 12)</v>
      </c>
      <c r="O40" s="22" t="s">
        <v>399</v>
      </c>
      <c r="P40" s="20" t="s">
        <v>435</v>
      </c>
      <c r="Q40" s="20"/>
      <c r="R40" s="20" t="s">
        <v>504</v>
      </c>
      <c r="S40" s="19" t="s">
        <v>668</v>
      </c>
    </row>
    <row r="41" spans="1:19" s="15" customFormat="1" ht="28.8" hidden="1" x14ac:dyDescent="0.3">
      <c r="A41" s="19">
        <v>34</v>
      </c>
      <c r="B41" s="19" t="s">
        <v>726</v>
      </c>
      <c r="C41" s="19"/>
      <c r="D41" s="19"/>
      <c r="E41" s="19" t="s">
        <v>9</v>
      </c>
      <c r="F41" s="19" t="s">
        <v>24</v>
      </c>
      <c r="G41" s="19" t="s">
        <v>466</v>
      </c>
      <c r="H41" s="19" t="s">
        <v>400</v>
      </c>
      <c r="I41" s="19" t="s">
        <v>864</v>
      </c>
      <c r="J41" s="19" t="s">
        <v>864</v>
      </c>
      <c r="K41" s="19"/>
      <c r="L41" s="19"/>
      <c r="M41" s="19" t="s">
        <v>25</v>
      </c>
      <c r="N41" s="19" t="str">
        <f>INDEX(PNGs!$J:J,MATCH($M41,PNGs!B:B,0))</f>
        <v>Copy of cause of death for under 5 age groups_2021_23052024.xlsx</v>
      </c>
      <c r="O41" s="22" t="s">
        <v>449</v>
      </c>
      <c r="P41" s="20" t="s">
        <v>450</v>
      </c>
      <c r="Q41" s="20"/>
      <c r="R41" s="20" t="s">
        <v>504</v>
      </c>
      <c r="S41" s="19" t="s">
        <v>39</v>
      </c>
    </row>
    <row r="42" spans="1:19" s="15" customFormat="1" ht="28.8" x14ac:dyDescent="0.3">
      <c r="A42" s="19">
        <v>35</v>
      </c>
      <c r="B42" s="19" t="s">
        <v>727</v>
      </c>
      <c r="C42" s="19"/>
      <c r="D42" s="19"/>
      <c r="E42" s="19" t="s">
        <v>9</v>
      </c>
      <c r="F42" s="19" t="s">
        <v>462</v>
      </c>
      <c r="G42" s="19" t="s">
        <v>467</v>
      </c>
      <c r="H42" s="19" t="s">
        <v>864</v>
      </c>
      <c r="I42" s="19" t="s">
        <v>744</v>
      </c>
      <c r="J42" s="21" t="s">
        <v>864</v>
      </c>
      <c r="K42" s="21"/>
      <c r="L42" s="19" t="b">
        <v>0</v>
      </c>
      <c r="M42" s="19" t="s">
        <v>667</v>
      </c>
      <c r="N42" s="34" t="s">
        <v>451</v>
      </c>
      <c r="O42" s="22" t="s">
        <v>449</v>
      </c>
      <c r="P42" s="20" t="s">
        <v>450</v>
      </c>
      <c r="Q42" s="20"/>
      <c r="R42" s="20" t="s">
        <v>504</v>
      </c>
      <c r="S42" s="19"/>
    </row>
    <row r="43" spans="1:19" s="15" customFormat="1" ht="28.8" hidden="1" x14ac:dyDescent="0.3">
      <c r="A43" s="19">
        <v>36</v>
      </c>
      <c r="B43" s="19" t="s">
        <v>728</v>
      </c>
      <c r="C43" s="19"/>
      <c r="D43" s="19"/>
      <c r="E43" s="19" t="s">
        <v>9</v>
      </c>
      <c r="F43" s="19" t="s">
        <v>463</v>
      </c>
      <c r="G43" s="19" t="s">
        <v>468</v>
      </c>
      <c r="H43" s="19" t="s">
        <v>864</v>
      </c>
      <c r="I43" s="19" t="s">
        <v>864</v>
      </c>
      <c r="J43" s="21" t="s">
        <v>864</v>
      </c>
      <c r="K43" s="21"/>
      <c r="L43" s="19" t="b">
        <v>0</v>
      </c>
      <c r="M43" s="19" t="s">
        <v>667</v>
      </c>
      <c r="N43" s="34" t="s">
        <v>451</v>
      </c>
      <c r="O43" s="22" t="s">
        <v>449</v>
      </c>
      <c r="P43" s="20" t="s">
        <v>450</v>
      </c>
      <c r="Q43" s="20"/>
      <c r="R43" s="20" t="s">
        <v>504</v>
      </c>
      <c r="S43" s="19"/>
    </row>
    <row r="44" spans="1:19" s="15" customFormat="1" ht="57.6" hidden="1" x14ac:dyDescent="0.3">
      <c r="A44" s="19">
        <v>37</v>
      </c>
      <c r="B44" s="19" t="s">
        <v>729</v>
      </c>
      <c r="C44" s="19"/>
      <c r="D44" s="19"/>
      <c r="E44" s="19" t="s">
        <v>9</v>
      </c>
      <c r="F44" s="19" t="s">
        <v>464</v>
      </c>
      <c r="G44" s="19" t="s">
        <v>469</v>
      </c>
      <c r="H44" s="19" t="s">
        <v>864</v>
      </c>
      <c r="I44" s="19" t="s">
        <v>864</v>
      </c>
      <c r="J44" s="21" t="s">
        <v>864</v>
      </c>
      <c r="K44" s="21"/>
      <c r="L44" s="19" t="b">
        <v>0</v>
      </c>
      <c r="M44" s="19" t="s">
        <v>667</v>
      </c>
      <c r="N44" s="34" t="s">
        <v>451</v>
      </c>
      <c r="O44" s="22" t="s">
        <v>449</v>
      </c>
      <c r="P44" s="20" t="s">
        <v>450</v>
      </c>
      <c r="Q44" s="20"/>
      <c r="R44" s="20" t="s">
        <v>504</v>
      </c>
      <c r="S44" s="19"/>
    </row>
    <row r="45" spans="1:19" s="15" customFormat="1" ht="28.8" hidden="1" x14ac:dyDescent="0.3">
      <c r="A45" s="19">
        <v>38</v>
      </c>
      <c r="B45" s="19" t="s">
        <v>730</v>
      </c>
      <c r="C45" s="19"/>
      <c r="D45" s="19"/>
      <c r="E45" s="19" t="s">
        <v>9</v>
      </c>
      <c r="F45" s="19" t="s">
        <v>465</v>
      </c>
      <c r="G45" s="19" t="s">
        <v>470</v>
      </c>
      <c r="H45" s="19" t="s">
        <v>864</v>
      </c>
      <c r="I45" s="19" t="s">
        <v>864</v>
      </c>
      <c r="J45" s="21" t="s">
        <v>864</v>
      </c>
      <c r="K45" s="21"/>
      <c r="L45" s="19" t="b">
        <v>0</v>
      </c>
      <c r="M45" s="19" t="s">
        <v>667</v>
      </c>
      <c r="N45" s="34" t="s">
        <v>451</v>
      </c>
      <c r="O45" s="22" t="s">
        <v>449</v>
      </c>
      <c r="P45" s="20" t="s">
        <v>450</v>
      </c>
      <c r="Q45" s="20"/>
      <c r="R45" s="20" t="s">
        <v>504</v>
      </c>
      <c r="S45" s="19"/>
    </row>
    <row r="46" spans="1:19" s="15" customFormat="1" ht="57.6" hidden="1" x14ac:dyDescent="0.3">
      <c r="A46" s="19">
        <v>39</v>
      </c>
      <c r="B46" s="19" t="s">
        <v>731</v>
      </c>
      <c r="C46" s="19"/>
      <c r="D46" s="19"/>
      <c r="E46" s="19" t="s">
        <v>9</v>
      </c>
      <c r="F46" s="19" t="s">
        <v>26</v>
      </c>
      <c r="G46" s="19" t="s">
        <v>471</v>
      </c>
      <c r="H46" s="19" t="b">
        <v>0</v>
      </c>
      <c r="I46" s="19" t="s">
        <v>864</v>
      </c>
      <c r="J46" s="19" t="s">
        <v>864</v>
      </c>
      <c r="K46" s="19"/>
      <c r="L46" s="19"/>
      <c r="M46" s="19" t="s">
        <v>27</v>
      </c>
      <c r="N46" s="19" t="str">
        <f>INDEX(PNGs!$J:J,MATCH($M46,PNGs!B:B,0))</f>
        <v>UNIGME2023.GHO.2024-04-29.KIM.csv</v>
      </c>
      <c r="O46" s="22" t="s">
        <v>399</v>
      </c>
      <c r="P46" s="20" t="s">
        <v>435</v>
      </c>
      <c r="Q46" s="20"/>
      <c r="R46" s="20" t="s">
        <v>504</v>
      </c>
      <c r="S46" s="19" t="s">
        <v>36</v>
      </c>
    </row>
    <row r="47" spans="1:19" s="15" customFormat="1" ht="57.6" hidden="1" x14ac:dyDescent="0.3">
      <c r="A47" s="19">
        <v>40</v>
      </c>
      <c r="B47" s="19" t="s">
        <v>732</v>
      </c>
      <c r="C47" s="19"/>
      <c r="D47" s="19"/>
      <c r="E47" s="19" t="s">
        <v>9</v>
      </c>
      <c r="F47" s="19" t="s">
        <v>28</v>
      </c>
      <c r="G47" s="19" t="s">
        <v>471</v>
      </c>
      <c r="H47" s="19" t="b">
        <v>0</v>
      </c>
      <c r="I47" s="19" t="s">
        <v>864</v>
      </c>
      <c r="J47" s="19" t="s">
        <v>864</v>
      </c>
      <c r="K47" s="19"/>
      <c r="L47" s="19"/>
      <c r="M47" s="19" t="s">
        <v>29</v>
      </c>
      <c r="N47" s="19" t="str">
        <f>INDEX(PNGs!$J:J,MATCH($M47,PNGs!B:B,0))</f>
        <v>UNIGME2023.GHO.2024-04-29.KIM.csv</v>
      </c>
      <c r="O47" s="22" t="s">
        <v>399</v>
      </c>
      <c r="P47" s="20" t="s">
        <v>435</v>
      </c>
      <c r="Q47" s="20"/>
      <c r="R47" s="20" t="s">
        <v>504</v>
      </c>
      <c r="S47" s="19" t="s">
        <v>36</v>
      </c>
    </row>
    <row r="48" spans="1:19" s="15" customFormat="1" ht="57.6" hidden="1" x14ac:dyDescent="0.3">
      <c r="A48" s="21">
        <v>41</v>
      </c>
      <c r="B48" s="21" t="s">
        <v>733</v>
      </c>
      <c r="C48" s="19"/>
      <c r="D48" s="19"/>
      <c r="E48" s="19" t="s">
        <v>9</v>
      </c>
      <c r="F48" s="21" t="s">
        <v>30</v>
      </c>
      <c r="G48" s="19" t="s">
        <v>471</v>
      </c>
      <c r="H48" s="21" t="b">
        <v>0</v>
      </c>
      <c r="I48" s="21" t="s">
        <v>864</v>
      </c>
      <c r="J48" s="19" t="s">
        <v>864</v>
      </c>
      <c r="K48" s="19"/>
      <c r="L48" s="21"/>
      <c r="M48" s="21" t="s">
        <v>209</v>
      </c>
      <c r="N48" s="19" t="str">
        <f>INDEX(PNGs!$J:J,MATCH($M48,PNGs!B:B,0))</f>
        <v>UNIGME2023.GHO.2024-04-29.KIM.csv</v>
      </c>
      <c r="O48" s="22" t="s">
        <v>399</v>
      </c>
      <c r="P48" s="20" t="s">
        <v>435</v>
      </c>
      <c r="Q48" s="20"/>
      <c r="R48" s="20" t="s">
        <v>504</v>
      </c>
      <c r="S48" s="21" t="s">
        <v>36</v>
      </c>
    </row>
    <row r="49" spans="1:19" s="15" customFormat="1" ht="57.6" hidden="1" x14ac:dyDescent="0.3">
      <c r="A49" s="19">
        <v>42</v>
      </c>
      <c r="B49" s="19" t="s">
        <v>734</v>
      </c>
      <c r="C49" s="19"/>
      <c r="D49" s="19"/>
      <c r="E49" s="19" t="s">
        <v>9</v>
      </c>
      <c r="F49" s="19" t="s">
        <v>30</v>
      </c>
      <c r="G49" s="19" t="s">
        <v>472</v>
      </c>
      <c r="H49" s="19" t="b">
        <v>0</v>
      </c>
      <c r="I49" s="19" t="s">
        <v>864</v>
      </c>
      <c r="J49" s="19" t="s">
        <v>864</v>
      </c>
      <c r="K49" s="19"/>
      <c r="L49" s="19"/>
      <c r="M49" s="19" t="s">
        <v>31</v>
      </c>
      <c r="N49" s="19" t="str">
        <f>INDEX(PNGs!$J:J,MATCH($M49,PNGs!B:B,0))</f>
        <v>UNIGME2023.GHO.2024-04-29.KIM.csv</v>
      </c>
      <c r="O49" s="22" t="s">
        <v>399</v>
      </c>
      <c r="P49" s="20" t="s">
        <v>435</v>
      </c>
      <c r="Q49" s="20"/>
      <c r="R49" s="20" t="s">
        <v>504</v>
      </c>
      <c r="S49" s="19" t="s">
        <v>36</v>
      </c>
    </row>
    <row r="50" spans="1:19" s="15" customFormat="1" ht="28.8" hidden="1" x14ac:dyDescent="0.3">
      <c r="A50" s="21">
        <v>43</v>
      </c>
      <c r="B50" s="21" t="s">
        <v>735</v>
      </c>
      <c r="C50" s="19" t="s">
        <v>867</v>
      </c>
      <c r="D50" s="19"/>
      <c r="E50" s="19" t="s">
        <v>402</v>
      </c>
      <c r="F50" s="19" t="s">
        <v>402</v>
      </c>
      <c r="G50" s="19" t="s">
        <v>410</v>
      </c>
      <c r="H50" s="19" t="s">
        <v>864</v>
      </c>
      <c r="I50" s="19" t="s">
        <v>864</v>
      </c>
      <c r="J50" s="19" t="s">
        <v>864</v>
      </c>
      <c r="K50" s="19"/>
      <c r="L50" s="19" t="s">
        <v>864</v>
      </c>
      <c r="M50" s="19" t="s">
        <v>864</v>
      </c>
      <c r="N50" s="19" t="e">
        <f>INDEX(PNGs!$J:J,MATCH($M50,PNGs!B:B,0))</f>
        <v>#N/A</v>
      </c>
      <c r="O50" s="19" t="s">
        <v>864</v>
      </c>
      <c r="P50" s="20" t="s">
        <v>864</v>
      </c>
      <c r="Q50" s="20" t="s">
        <v>864</v>
      </c>
      <c r="R50" s="20" t="s">
        <v>864</v>
      </c>
      <c r="S50" s="19"/>
    </row>
    <row r="51" spans="1:19" s="15" customFormat="1" hidden="1" x14ac:dyDescent="0.3">
      <c r="A51" s="23">
        <v>44</v>
      </c>
      <c r="B51" s="23" t="s">
        <v>736</v>
      </c>
      <c r="C51" s="23" t="s">
        <v>867</v>
      </c>
      <c r="D51" s="23"/>
      <c r="E51" s="23" t="s">
        <v>402</v>
      </c>
      <c r="F51" s="23" t="s">
        <v>402</v>
      </c>
      <c r="G51" s="23" t="s">
        <v>410</v>
      </c>
      <c r="H51" s="23" t="s">
        <v>864</v>
      </c>
      <c r="I51" s="23" t="s">
        <v>864</v>
      </c>
      <c r="J51" s="23" t="s">
        <v>864</v>
      </c>
      <c r="K51" s="23"/>
      <c r="L51" s="23" t="s">
        <v>864</v>
      </c>
      <c r="M51" s="23" t="s">
        <v>864</v>
      </c>
      <c r="N51" s="23" t="e">
        <f>INDEX(PNGs!$J:J,MATCH($M51,PNGs!B:B,0))</f>
        <v>#N/A</v>
      </c>
      <c r="O51" s="24" t="s">
        <v>864</v>
      </c>
      <c r="P51" s="25" t="s">
        <v>864</v>
      </c>
      <c r="Q51" s="25" t="s">
        <v>864</v>
      </c>
      <c r="R51" s="25" t="s">
        <v>864</v>
      </c>
      <c r="S51" s="19"/>
    </row>
    <row r="52" spans="1:19" s="15" customFormat="1" ht="28.8" hidden="1" x14ac:dyDescent="0.3">
      <c r="A52" s="21">
        <v>45</v>
      </c>
      <c r="B52" s="21" t="s">
        <v>737</v>
      </c>
      <c r="C52" s="21"/>
      <c r="D52" s="21"/>
      <c r="E52" s="21" t="s">
        <v>402</v>
      </c>
      <c r="F52" s="21" t="s">
        <v>473</v>
      </c>
      <c r="G52" s="21" t="s">
        <v>411</v>
      </c>
      <c r="H52" s="19" t="s">
        <v>864</v>
      </c>
      <c r="I52" s="19" t="s">
        <v>864</v>
      </c>
      <c r="J52" s="21" t="s">
        <v>746</v>
      </c>
      <c r="K52" s="21"/>
      <c r="L52" s="19"/>
      <c r="M52" s="19" t="s">
        <v>285</v>
      </c>
      <c r="N52" s="19" t="str">
        <f>INDEX(PNGs!$J:J,MATCH($M52,PNGs!B:B,0))</f>
        <v>PolicySurvey_All.labels.xlsx</v>
      </c>
      <c r="O52" s="22" t="s">
        <v>474</v>
      </c>
      <c r="P52" s="20" t="s">
        <v>450</v>
      </c>
      <c r="Q52" s="20"/>
      <c r="R52" s="20"/>
      <c r="S52" s="19" t="s">
        <v>745</v>
      </c>
    </row>
    <row r="53" spans="1:19" s="15" customFormat="1" ht="28.8" hidden="1" x14ac:dyDescent="0.3">
      <c r="A53" s="21">
        <v>46</v>
      </c>
      <c r="B53" s="21" t="s">
        <v>738</v>
      </c>
      <c r="C53" s="21"/>
      <c r="D53" s="21"/>
      <c r="E53" s="21" t="s">
        <v>402</v>
      </c>
      <c r="F53" s="21" t="s">
        <v>475</v>
      </c>
      <c r="G53" s="21" t="s">
        <v>411</v>
      </c>
      <c r="H53" s="19" t="s">
        <v>864</v>
      </c>
      <c r="I53" s="19" t="s">
        <v>864</v>
      </c>
      <c r="J53" s="21" t="s">
        <v>746</v>
      </c>
      <c r="K53" s="21"/>
      <c r="L53" s="19"/>
      <c r="M53" s="19" t="s">
        <v>286</v>
      </c>
      <c r="N53" s="19" t="str">
        <f>INDEX(PNGs!$J:J,MATCH($M53,PNGs!B:B,0))</f>
        <v>PolicySurvey_All.labels.xlsx</v>
      </c>
      <c r="O53" s="22" t="s">
        <v>474</v>
      </c>
      <c r="P53" s="20" t="s">
        <v>450</v>
      </c>
      <c r="Q53" s="20"/>
      <c r="R53" s="20"/>
      <c r="S53" s="19" t="s">
        <v>745</v>
      </c>
    </row>
    <row r="54" spans="1:19" s="15" customFormat="1" ht="28.8" hidden="1" x14ac:dyDescent="0.3">
      <c r="A54" s="21">
        <v>47</v>
      </c>
      <c r="B54" s="21" t="s">
        <v>739</v>
      </c>
      <c r="C54" s="21"/>
      <c r="D54" s="21"/>
      <c r="E54" s="21" t="s">
        <v>402</v>
      </c>
      <c r="F54" s="21" t="s">
        <v>476</v>
      </c>
      <c r="G54" s="21" t="s">
        <v>411</v>
      </c>
      <c r="H54" s="19" t="s">
        <v>864</v>
      </c>
      <c r="I54" s="19" t="s">
        <v>864</v>
      </c>
      <c r="J54" s="21" t="s">
        <v>746</v>
      </c>
      <c r="K54" s="21"/>
      <c r="L54" s="19"/>
      <c r="M54" s="19" t="s">
        <v>287</v>
      </c>
      <c r="N54" s="19" t="str">
        <f>INDEX(PNGs!$J:J,MATCH($M54,PNGs!B:B,0))</f>
        <v>PolicySurvey_All.labels.xlsx</v>
      </c>
      <c r="O54" s="22" t="s">
        <v>474</v>
      </c>
      <c r="P54" s="20" t="s">
        <v>450</v>
      </c>
      <c r="Q54" s="20"/>
      <c r="R54" s="20"/>
      <c r="S54" s="19" t="s">
        <v>745</v>
      </c>
    </row>
    <row r="55" spans="1:19" s="15" customFormat="1" hidden="1" x14ac:dyDescent="0.3">
      <c r="A55" s="21">
        <v>48</v>
      </c>
      <c r="B55" s="21" t="s">
        <v>741</v>
      </c>
      <c r="C55" s="19" t="s">
        <v>867</v>
      </c>
      <c r="D55" s="19"/>
      <c r="E55" s="19" t="s">
        <v>403</v>
      </c>
      <c r="F55" s="19" t="s">
        <v>403</v>
      </c>
      <c r="G55" s="19" t="s">
        <v>410</v>
      </c>
      <c r="H55" s="19" t="s">
        <v>864</v>
      </c>
      <c r="I55" s="19" t="s">
        <v>864</v>
      </c>
      <c r="J55" s="19" t="s">
        <v>864</v>
      </c>
      <c r="K55" s="19"/>
      <c r="L55" s="19" t="s">
        <v>864</v>
      </c>
      <c r="M55" s="19" t="s">
        <v>864</v>
      </c>
      <c r="N55" s="19" t="e">
        <f>INDEX(PNGs!$J:J,MATCH($M55,PNGs!B:B,0))</f>
        <v>#N/A</v>
      </c>
      <c r="O55" s="19" t="s">
        <v>864</v>
      </c>
      <c r="P55" s="20" t="s">
        <v>864</v>
      </c>
      <c r="Q55" s="20" t="s">
        <v>864</v>
      </c>
      <c r="R55" s="20" t="s">
        <v>864</v>
      </c>
      <c r="S55" s="19"/>
    </row>
    <row r="56" spans="1:19" s="15" customFormat="1" ht="187.2" hidden="1" x14ac:dyDescent="0.3">
      <c r="A56" s="21">
        <v>49</v>
      </c>
      <c r="B56" s="21" t="s">
        <v>740</v>
      </c>
      <c r="C56" s="21"/>
      <c r="D56" s="21"/>
      <c r="E56" s="21" t="s">
        <v>403</v>
      </c>
      <c r="F56" s="21" t="s">
        <v>477</v>
      </c>
      <c r="G56" s="21" t="s">
        <v>477</v>
      </c>
      <c r="H56" s="19" t="s">
        <v>864</v>
      </c>
      <c r="I56" s="19" t="s">
        <v>864</v>
      </c>
      <c r="J56" s="19" t="s">
        <v>864</v>
      </c>
      <c r="K56" s="19"/>
      <c r="L56" s="21" t="b">
        <v>0</v>
      </c>
      <c r="M56" s="36" t="s">
        <v>289</v>
      </c>
      <c r="N56" s="19" t="str">
        <f>INDEX(PNGs!$J:J,MATCH($M56,PNGs!B:B,0))</f>
        <v>https://xmart-api-public.who.int/MNCAH/MCA_FACT_DATA?$filter=INDICATOR_FK%20in%20(%22AC_ANEMIAPW%22,%22AC_ANEMIAWRA%22,%22BC_LBW%22)&amp;$select=INDICATOR_FK,YEAR_FK,COUNTRY_FK,COUNTRY_FK__CODE,ValueNumeric,ValueLow,ValueHigh,ValueStdDev,ValueStdErr,Comments,AGEGROUP_FK,Answer_FK,CauseGHE_FK,CauseGHEChild_FK,CauseENVCAUSE_FK,DatasourceLong,DatasourceShort,ImpSan_FK,ImpWater_FK,LivingArrangements_FK,MEASDEF_FK,MOTHEREDUCATION_FK,ProficiencyLevel_FK,ResideLTA_FK,RESIDENCEAREA_FK,SABDefinition_FK,SEVERITY_FK,SEVERITYHEARING_FK,SEVERITYVISION_FK,SEX_FK,WEALTHQUINTILE_FK</v>
      </c>
      <c r="O56" s="39" t="s">
        <v>685</v>
      </c>
      <c r="P56" s="20" t="s">
        <v>479</v>
      </c>
      <c r="Q56" s="20"/>
      <c r="R56" s="20"/>
      <c r="S56" s="19"/>
    </row>
    <row r="57" spans="1:19" s="15" customFormat="1" ht="28.8" hidden="1" x14ac:dyDescent="0.3">
      <c r="A57" s="21">
        <v>50</v>
      </c>
      <c r="B57" s="21" t="s">
        <v>742</v>
      </c>
      <c r="C57" s="21"/>
      <c r="D57" s="21"/>
      <c r="E57" s="21" t="s">
        <v>403</v>
      </c>
      <c r="F57" s="21" t="s">
        <v>478</v>
      </c>
      <c r="G57" s="21" t="s">
        <v>478</v>
      </c>
      <c r="H57" s="21" t="s">
        <v>864</v>
      </c>
      <c r="I57" s="21" t="s">
        <v>864</v>
      </c>
      <c r="J57" s="19" t="s">
        <v>864</v>
      </c>
      <c r="K57" s="19"/>
      <c r="L57" s="21" t="b">
        <v>0</v>
      </c>
      <c r="M57" s="21" t="s">
        <v>480</v>
      </c>
      <c r="N57" s="21">
        <f>INDEX(PNGs!$J:J,MATCH($M57,PNGs!B:B,0))</f>
        <v>0</v>
      </c>
      <c r="O57" s="36" t="s">
        <v>685</v>
      </c>
      <c r="P57" s="26" t="s">
        <v>479</v>
      </c>
      <c r="Q57" s="26"/>
      <c r="R57" s="26"/>
      <c r="S57" s="21"/>
    </row>
    <row r="58" spans="1:19" s="15" customFormat="1" hidden="1" x14ac:dyDescent="0.3">
      <c r="A58" s="19">
        <v>51</v>
      </c>
      <c r="B58" s="21" t="s">
        <v>743</v>
      </c>
      <c r="C58" s="19" t="s">
        <v>867</v>
      </c>
      <c r="D58" s="19"/>
      <c r="E58" s="19" t="s">
        <v>404</v>
      </c>
      <c r="F58" s="19" t="s">
        <v>404</v>
      </c>
      <c r="G58" s="19" t="s">
        <v>410</v>
      </c>
      <c r="H58" s="19" t="s">
        <v>864</v>
      </c>
      <c r="I58" s="19" t="s">
        <v>864</v>
      </c>
      <c r="J58" s="19" t="s">
        <v>864</v>
      </c>
      <c r="K58" s="19"/>
      <c r="L58" s="19" t="s">
        <v>864</v>
      </c>
      <c r="M58" s="19" t="s">
        <v>864</v>
      </c>
      <c r="N58" s="19" t="e">
        <f>INDEX(PNGs!$J:J,MATCH($M58,PNGs!B:B,0))</f>
        <v>#N/A</v>
      </c>
      <c r="O58" s="22" t="s">
        <v>864</v>
      </c>
      <c r="P58" s="20" t="s">
        <v>864</v>
      </c>
      <c r="Q58" s="20" t="s">
        <v>864</v>
      </c>
      <c r="R58" s="20" t="s">
        <v>864</v>
      </c>
      <c r="S58" s="19"/>
    </row>
    <row r="59" spans="1:19" s="15" customFormat="1" ht="409.6" hidden="1" x14ac:dyDescent="0.3">
      <c r="A59" s="21">
        <v>52</v>
      </c>
      <c r="B59" s="21" t="s">
        <v>748</v>
      </c>
      <c r="C59" s="19"/>
      <c r="D59" s="19"/>
      <c r="E59" s="19" t="s">
        <v>404</v>
      </c>
      <c r="F59" s="19" t="s">
        <v>481</v>
      </c>
      <c r="G59" s="19" t="s">
        <v>482</v>
      </c>
      <c r="H59" s="19" t="s">
        <v>864</v>
      </c>
      <c r="I59" s="19" t="s">
        <v>864</v>
      </c>
      <c r="J59" s="19" t="s">
        <v>864</v>
      </c>
      <c r="K59" s="19"/>
      <c r="L59" s="19"/>
      <c r="M59" s="19" t="s">
        <v>122</v>
      </c>
      <c r="N59" s="21" t="str">
        <f>INDEX(PNGs!$J:J,MATCH($M59,PNGs!B:B,0))</f>
        <v>https://xmart-api-public.who.int/MNCAH/MCA_FACT_DATA?$filter=INDICATOR_FK%20in%20(%22AC_A4V%22,%22MN_IRTSYR%22,%22WCAH_ANCSYP%22,%22BC_FPSMM%22,%22BC_BASHP%22,%22CANUT_EBF%22,%22CANUT_EIBF%22,%22MN_ARV_PMTCT%22,%22TECI_ORS%22,%22TECI_ORSZINC%22,%22TECI_PNEUHCP%22,%22PNC_MOM%22,%22PNC_NB%22,%22AC_PAB%22,%22WCAH_DTP3%22,%22WCAH_MCV2%22)&amp;$select=INDICATOR_FK,YEAR_FK,COUNTRY_FK,COUNTRY_FK__CODE,ValueNumeric,ValueLow,ValueHigh,ValueStdDev,ValueStdErr,Comments,AGEGROUP_FK,Answer_FK,CauseGHE_FK,CauseGHEChild_FK,CauseENVCAUSE_FK,DatasourceLong,DatasourceShort,ImpSan_FK,ImpWater_FK,LivingArrangements_FK,MEASDEF_FK,MOTHEREDUCATION_FK,ProficiencyLevel_FK,ResideLTA_FK,RESIDENCEAREA_FK,SABDefinition_FK,SEVERITY_FK,SEVERITYHEARING_FK,SEVERITYVISION_FK,SEX_FK,WEALTHQUINTILE_FK</v>
      </c>
      <c r="O59" s="27" t="s">
        <v>686</v>
      </c>
      <c r="P59" s="20" t="s">
        <v>450</v>
      </c>
      <c r="Q59" s="20"/>
      <c r="R59" s="20"/>
      <c r="S59" s="19"/>
    </row>
    <row r="60" spans="1:19" s="15" customFormat="1" ht="409.6" hidden="1" x14ac:dyDescent="0.3">
      <c r="A60" s="19">
        <v>53</v>
      </c>
      <c r="B60" s="19" t="s">
        <v>749</v>
      </c>
      <c r="C60" s="19"/>
      <c r="D60" s="19"/>
      <c r="E60" s="19" t="s">
        <v>404</v>
      </c>
      <c r="F60" s="19" t="s">
        <v>483</v>
      </c>
      <c r="G60" s="19" t="s">
        <v>484</v>
      </c>
      <c r="H60" s="19" t="s">
        <v>864</v>
      </c>
      <c r="I60" s="19" t="s">
        <v>864</v>
      </c>
      <c r="J60" s="19" t="s">
        <v>864</v>
      </c>
      <c r="K60" s="19"/>
      <c r="L60" s="19"/>
      <c r="M60" s="19" t="s">
        <v>127</v>
      </c>
      <c r="N60" s="19" t="str">
        <f>INDEX(PNGs!$J:J,MATCH($M60,PNGs!B:B,0))</f>
        <v>https://xmart-api-public.who.int/MNCAH/MCA_FACT_DATA?$filter=INDICATOR_FK%20in%20(%22AC_A4V%22,%22MN_IRTSYR%22,%22WCAH_ANCSYP%22,%22BC_FPSMM%22,%22BC_BASHP%22,%22CANUT_EBF%22,%22CANUT_EIBF%22,%22MN_ARV_PMTCT%22,%22TECI_ORS%22,%22TECI_ORSZINC%22,%22TECI_PNEUHCP%22,%22PNC_MOM%22,%22PNC_NB%22,%22AC_PAB%22,%22WCAH_DTP3%22,%22WCAH_MCV2%22)&amp;$select=INDICATOR_FK,YEAR_FK,COUNTRY_FK,COUNTRY_FK__CODE,ValueNumeric,ValueLow,ValueHigh,ValueStdDev,ValueStdErr,Comments,AGEGROUP_FK,Answer_FK,CauseGHE_FK,CauseGHEChild_FK,CauseENVCAUSE_FK,DatasourceLong,DatasourceShort,ImpSan_FK,ImpWater_FK,LivingArrangements_FK,MEASDEF_FK,MOTHEREDUCATION_FK,ProficiencyLevel_FK,ResideLTA_FK,RESIDENCEAREA_FK,SABDefinition_FK,SEVERITY_FK,SEVERITYHEARING_FK,SEVERITYVISION_FK,SEX_FK,WEALTHQUINTILE_FK</v>
      </c>
      <c r="O60" s="27" t="s">
        <v>686</v>
      </c>
      <c r="P60" s="20" t="s">
        <v>450</v>
      </c>
      <c r="Q60" s="20"/>
      <c r="R60" s="20"/>
      <c r="S60" s="19"/>
    </row>
    <row r="61" spans="1:19" s="15" customFormat="1" ht="409.6" hidden="1" x14ac:dyDescent="0.3">
      <c r="A61" s="21">
        <v>54</v>
      </c>
      <c r="B61" s="21" t="s">
        <v>750</v>
      </c>
      <c r="C61" s="19"/>
      <c r="D61" s="19"/>
      <c r="E61" s="19" t="s">
        <v>404</v>
      </c>
      <c r="F61" s="19" t="s">
        <v>486</v>
      </c>
      <c r="G61" s="19" t="s">
        <v>487</v>
      </c>
      <c r="H61" s="19" t="s">
        <v>864</v>
      </c>
      <c r="I61" s="19" t="s">
        <v>864</v>
      </c>
      <c r="J61" s="19" t="s">
        <v>864</v>
      </c>
      <c r="K61" s="19"/>
      <c r="L61" s="19"/>
      <c r="M61" s="19" t="s">
        <v>128</v>
      </c>
      <c r="N61" s="19" t="str">
        <f>INDEX(PNGs!$J:J,MATCH($M61,PNGs!B:B,0))</f>
        <v>https://xmart-api-public.who.int/MNCAH/MCA_FACT_DATA?$filter=INDICATOR_FK%20in%20(%22AC_A4V%22,%22MN_IRTSYR%22,%22WCAH_ANCSYP%22,%22BC_FPSMM%22,%22BC_BASHP%22,%22CANUT_EBF%22,%22CANUT_EIBF%22,%22MN_ARV_PMTCT%22,%22TECI_ORS%22,%22TECI_ORSZINC%22,%22TECI_PNEUHCP%22,%22PNC_MOM%22,%22PNC_NB%22,%22AC_PAB%22,%22WCAH_DTP3%22,%22WCAH_MCV2%22)&amp;$select=INDICATOR_FK,YEAR_FK,COUNTRY_FK,COUNTRY_FK__CODE,ValueNumeric,ValueLow,ValueHigh,ValueStdDev,ValueStdErr,Comments,AGEGROUP_FK,Answer_FK,CauseGHE_FK,CauseGHEChild_FK,CauseENVCAUSE_FK,DatasourceLong,DatasourceShort,ImpSan_FK,ImpWater_FK,LivingArrangements_FK,MEASDEF_FK,MOTHEREDUCATION_FK,ProficiencyLevel_FK,ResideLTA_FK,RESIDENCEAREA_FK,SABDefinition_FK,SEVERITY_FK,SEVERITYHEARING_FK,SEVERITYVISION_FK,SEX_FK,WEALTHQUINTILE_FK</v>
      </c>
      <c r="O61" s="27" t="s">
        <v>686</v>
      </c>
      <c r="P61" s="20" t="s">
        <v>479</v>
      </c>
      <c r="Q61" s="20"/>
      <c r="R61" s="20"/>
      <c r="S61" s="19"/>
    </row>
    <row r="62" spans="1:19" s="15" customFormat="1" ht="288" hidden="1" x14ac:dyDescent="0.3">
      <c r="A62" s="19">
        <v>55</v>
      </c>
      <c r="B62" s="21" t="s">
        <v>752</v>
      </c>
      <c r="C62" s="19"/>
      <c r="D62" s="19"/>
      <c r="E62" s="19" t="s">
        <v>404</v>
      </c>
      <c r="F62" s="19" t="s">
        <v>489</v>
      </c>
      <c r="G62" s="19" t="s">
        <v>488</v>
      </c>
      <c r="H62" s="19" t="s">
        <v>864</v>
      </c>
      <c r="I62" s="19" t="s">
        <v>864</v>
      </c>
      <c r="J62" s="19" t="s">
        <v>864</v>
      </c>
      <c r="K62" s="19"/>
      <c r="L62" s="19"/>
      <c r="M62" s="19" t="s">
        <v>363</v>
      </c>
      <c r="N62" s="19" t="str">
        <f>INDEX(PNGs!$J:J,MATCH($M62,PNGs!B:B,0))</f>
        <v>https://ghoapi.azureedge.net/api/sba</v>
      </c>
      <c r="O62" s="22" t="s">
        <v>684</v>
      </c>
      <c r="P62" s="20" t="s">
        <v>490</v>
      </c>
      <c r="Q62" s="20"/>
      <c r="R62" s="20" t="s">
        <v>491</v>
      </c>
      <c r="S62" s="19"/>
    </row>
    <row r="63" spans="1:19" s="15" customFormat="1" ht="288" hidden="1" x14ac:dyDescent="0.3">
      <c r="A63" s="21">
        <v>56</v>
      </c>
      <c r="B63" s="21" t="s">
        <v>751</v>
      </c>
      <c r="C63" s="19"/>
      <c r="D63" s="19"/>
      <c r="E63" s="19" t="s">
        <v>404</v>
      </c>
      <c r="F63" s="19" t="s">
        <v>492</v>
      </c>
      <c r="G63" s="19" t="s">
        <v>493</v>
      </c>
      <c r="H63" s="19" t="s">
        <v>864</v>
      </c>
      <c r="I63" s="19" t="s">
        <v>864</v>
      </c>
      <c r="J63" s="19" t="s">
        <v>864</v>
      </c>
      <c r="K63" s="19"/>
      <c r="L63" s="19"/>
      <c r="M63" s="19" t="s">
        <v>364</v>
      </c>
      <c r="N63" s="19" t="str">
        <f>INDEX(PNGs!$J:J,MATCH($M63,PNGs!B:B,0))</f>
        <v>https://ghoapi.azureedge.net/api/sba</v>
      </c>
      <c r="O63" s="22" t="s">
        <v>684</v>
      </c>
      <c r="P63" s="20" t="s">
        <v>490</v>
      </c>
      <c r="Q63" s="20"/>
      <c r="R63" s="20" t="s">
        <v>491</v>
      </c>
      <c r="S63" s="19"/>
    </row>
    <row r="64" spans="1:19" s="15" customFormat="1" ht="288" hidden="1" x14ac:dyDescent="0.3">
      <c r="A64" s="19">
        <v>57</v>
      </c>
      <c r="B64" s="21" t="s">
        <v>754</v>
      </c>
      <c r="C64" s="19"/>
      <c r="D64" s="19"/>
      <c r="E64" s="19" t="s">
        <v>404</v>
      </c>
      <c r="F64" s="19" t="s">
        <v>494</v>
      </c>
      <c r="G64" s="19" t="s">
        <v>495</v>
      </c>
      <c r="H64" s="19" t="s">
        <v>864</v>
      </c>
      <c r="I64" s="19" t="s">
        <v>864</v>
      </c>
      <c r="J64" s="19" t="s">
        <v>864</v>
      </c>
      <c r="K64" s="19"/>
      <c r="L64" s="19"/>
      <c r="M64" s="19" t="s">
        <v>365</v>
      </c>
      <c r="N64" s="19" t="str">
        <f>INDEX(PNGs!$J:J,MATCH($M64,PNGs!B:B,0))</f>
        <v>https://ghoapi.azureedge.net/api/sba</v>
      </c>
      <c r="O64" s="22" t="s">
        <v>684</v>
      </c>
      <c r="P64" s="20" t="s">
        <v>490</v>
      </c>
      <c r="Q64" s="20"/>
      <c r="R64" s="20" t="s">
        <v>491</v>
      </c>
      <c r="S64" s="19"/>
    </row>
    <row r="65" spans="1:19" s="15" customFormat="1" ht="288" hidden="1" x14ac:dyDescent="0.3">
      <c r="A65" s="21">
        <v>58</v>
      </c>
      <c r="B65" s="21" t="s">
        <v>753</v>
      </c>
      <c r="C65" s="19"/>
      <c r="D65" s="19"/>
      <c r="E65" s="19" t="s">
        <v>404</v>
      </c>
      <c r="F65" s="19" t="s">
        <v>496</v>
      </c>
      <c r="G65" s="19" t="s">
        <v>495</v>
      </c>
      <c r="H65" s="19" t="s">
        <v>864</v>
      </c>
      <c r="I65" s="19" t="s">
        <v>864</v>
      </c>
      <c r="J65" s="19" t="s">
        <v>864</v>
      </c>
      <c r="K65" s="19"/>
      <c r="L65" s="19"/>
      <c r="M65" s="19" t="s">
        <v>366</v>
      </c>
      <c r="N65" s="19" t="str">
        <f>INDEX(PNGs!$J:J,MATCH($M65,PNGs!B:B,0))</f>
        <v>https://ghoapi.azureedge.net/api/sba</v>
      </c>
      <c r="O65" s="22" t="s">
        <v>684</v>
      </c>
      <c r="P65" s="20" t="s">
        <v>490</v>
      </c>
      <c r="Q65" s="20"/>
      <c r="R65" s="20" t="s">
        <v>491</v>
      </c>
      <c r="S65" s="19"/>
    </row>
    <row r="66" spans="1:19" s="15" customFormat="1" ht="244.8" hidden="1" x14ac:dyDescent="0.3">
      <c r="A66" s="19">
        <v>59</v>
      </c>
      <c r="B66" s="21" t="s">
        <v>755</v>
      </c>
      <c r="C66" s="19"/>
      <c r="D66" s="19"/>
      <c r="E66" s="19" t="s">
        <v>404</v>
      </c>
      <c r="F66" s="19" t="s">
        <v>497</v>
      </c>
      <c r="G66" s="19" t="s">
        <v>498</v>
      </c>
      <c r="H66" s="19" t="s">
        <v>864</v>
      </c>
      <c r="I66" s="19" t="s">
        <v>864</v>
      </c>
      <c r="J66" s="19" t="s">
        <v>864</v>
      </c>
      <c r="K66" s="19"/>
      <c r="L66" s="19"/>
      <c r="M66" s="19" t="s">
        <v>358</v>
      </c>
      <c r="N66" s="19" t="str">
        <f>INDEX(PNGs!$J:J,MATCH($M66,PNGs!B:B,0))</f>
        <v>https://xmart-api-public.who.int/MNCAH/MCA_FACT_DATA?$filter=INDICATOR_FK%20in%20(%22AC_A4V%22,%22MN_IRTSYR%22,%22WCAH_ANCSYP%22,%22BC_FPSMM%22,%22BC_BASHP%22,%22CANUT_EBF%22,%22CANUT_EIBF%22,%22MN_ARV_PMTCT%22,%22TECI_ORS%22,%22TECI_ORSZINC%22,%22TECI_PNEUHCP%22,%22PNC_MOM%22,%22PNC_NB%22,%22AC_PAB%22,%22WCAH_DTP3%22,%22WCAH_MCV2%22)&amp;$select=INDICATOR_FK,YEAR_FK,COUNTRY_FK,COUNTRY_FK__CODE,ValueNumeric,ValueLow,ValueHigh,ValueStdDev,ValueStdErr,Comments,AGEGROUP_FK,Answer_FK,CauseGHE_FK,CauseGHEChild_FK,CauseENVCAUSE_FK,DatasourceLong,DatasourceShort,ImpSan_FK,ImpWater_FK,LivingArrangements_FK,MEASDEF_FK,MOTHEREDUCATION_FK,ProficiencyLevel_FK,ResideLTA_FK,RESIDENCEAREA_FK,SABDefinition_FK,SEVERITY_FK,SEVERITYHEARING_FK,SEVERITYVISION_FK,SEX_FK,WEALTHQUINTILE_FK</v>
      </c>
      <c r="O66" s="22" t="s">
        <v>134</v>
      </c>
      <c r="P66" s="20" t="s">
        <v>450</v>
      </c>
      <c r="Q66" s="20"/>
      <c r="R66" s="20"/>
      <c r="S66" s="19"/>
    </row>
    <row r="67" spans="1:19" s="15" customFormat="1" ht="244.8" hidden="1" x14ac:dyDescent="0.3">
      <c r="A67" s="21">
        <v>60</v>
      </c>
      <c r="B67" s="21" t="s">
        <v>756</v>
      </c>
      <c r="C67" s="19"/>
      <c r="D67" s="19"/>
      <c r="E67" s="19" t="s">
        <v>404</v>
      </c>
      <c r="F67" s="19" t="s">
        <v>499</v>
      </c>
      <c r="G67" s="19" t="s">
        <v>500</v>
      </c>
      <c r="H67" s="19" t="s">
        <v>864</v>
      </c>
      <c r="I67" s="19" t="s">
        <v>864</v>
      </c>
      <c r="J67" s="19" t="s">
        <v>864</v>
      </c>
      <c r="K67" s="19"/>
      <c r="L67" s="19"/>
      <c r="M67" s="19" t="s">
        <v>359</v>
      </c>
      <c r="N67" s="19" t="str">
        <f>INDEX(PNGs!$J:J,MATCH($M67,PNGs!B:B,0))</f>
        <v>https://xmart-api-public.who.int/MNCAH/MCA_FACT_DATA?$filter=INDICATOR_FK%20in%20(%22AC_A4V%22,%22MN_IRTSYR%22,%22WCAH_ANCSYP%22,%22BC_FPSMM%22,%22BC_BASHP%22,%22CANUT_EBF%22,%22CANUT_EIBF%22,%22MN_ARV_PMTCT%22,%22TECI_ORS%22,%22TECI_ORSZINC%22,%22TECI_PNEUHCP%22,%22PNC_MOM%22,%22PNC_NB%22,%22AC_PAB%22,%22WCAH_DTP3%22,%22WCAH_MCV2%22)&amp;$select=INDICATOR_FK,YEAR_FK,COUNTRY_FK,COUNTRY_FK__CODE,ValueNumeric,ValueLow,ValueHigh,ValueStdDev,ValueStdErr,Comments,AGEGROUP_FK,Answer_FK,CauseGHE_FK,CauseGHEChild_FK,CauseENVCAUSE_FK,DatasourceLong,DatasourceShort,ImpSan_FK,ImpWater_FK,LivingArrangements_FK,MEASDEF_FK,MOTHEREDUCATION_FK,ProficiencyLevel_FK,ResideLTA_FK,RESIDENCEAREA_FK,SABDefinition_FK,SEVERITY_FK,SEVERITYHEARING_FK,SEVERITYVISION_FK,SEX_FK,WEALTHQUINTILE_FK</v>
      </c>
      <c r="O67" s="22" t="s">
        <v>134</v>
      </c>
      <c r="P67" s="20" t="s">
        <v>450</v>
      </c>
      <c r="Q67" s="20"/>
      <c r="R67" s="20"/>
      <c r="S67" s="19"/>
    </row>
    <row r="68" spans="1:19" s="15" customFormat="1" ht="244.8" hidden="1" x14ac:dyDescent="0.3">
      <c r="A68" s="19">
        <v>61</v>
      </c>
      <c r="B68" s="21" t="s">
        <v>757</v>
      </c>
      <c r="C68" s="19"/>
      <c r="D68" s="19"/>
      <c r="E68" s="19" t="s">
        <v>404</v>
      </c>
      <c r="F68" s="19" t="s">
        <v>501</v>
      </c>
      <c r="G68" s="19" t="s">
        <v>498</v>
      </c>
      <c r="H68" s="19" t="s">
        <v>864</v>
      </c>
      <c r="I68" s="19" t="s">
        <v>864</v>
      </c>
      <c r="J68" s="19" t="s">
        <v>864</v>
      </c>
      <c r="K68" s="19"/>
      <c r="L68" s="19"/>
      <c r="M68" s="19" t="s">
        <v>360</v>
      </c>
      <c r="N68" s="19" t="str">
        <f>INDEX(PNGs!$J:J,MATCH($M68,PNGs!B:B,0))</f>
        <v>https://xmart-api-public.who.int/MNCAH/MCA_FACT_DATA?$filter=INDICATOR_FK%20in%20(%22AC_A4V%22,%22MN_IRTSYR%22,%22WCAH_ANCSYP%22,%22BC_FPSMM%22,%22BC_BASHP%22,%22CANUT_EBF%22,%22CANUT_EIBF%22,%22MN_ARV_PMTCT%22,%22TECI_ORS%22,%22TECI_ORSZINC%22,%22TECI_PNEUHCP%22,%22PNC_MOM%22,%22PNC_NB%22,%22AC_PAB%22,%22WCAH_DTP3%22,%22WCAH_MCV2%22)&amp;$select=INDICATOR_FK,YEAR_FK,COUNTRY_FK,COUNTRY_FK__CODE,ValueNumeric,ValueLow,ValueHigh,ValueStdDev,ValueStdErr,Comments,AGEGROUP_FK,Answer_FK,CauseGHE_FK,CauseGHEChild_FK,CauseENVCAUSE_FK,DatasourceLong,DatasourceShort,ImpSan_FK,ImpWater_FK,LivingArrangements_FK,MEASDEF_FK,MOTHEREDUCATION_FK,ProficiencyLevel_FK,ResideLTA_FK,RESIDENCEAREA_FK,SABDefinition_FK,SEVERITY_FK,SEVERITYHEARING_FK,SEVERITYVISION_FK,SEX_FK,WEALTHQUINTILE_FK</v>
      </c>
      <c r="O68" s="22" t="s">
        <v>134</v>
      </c>
      <c r="P68" s="20" t="s">
        <v>450</v>
      </c>
      <c r="Q68" s="20"/>
      <c r="R68" s="20"/>
      <c r="S68" s="19"/>
    </row>
    <row r="69" spans="1:19" s="15" customFormat="1" ht="244.8" hidden="1" x14ac:dyDescent="0.3">
      <c r="A69" s="21">
        <v>62</v>
      </c>
      <c r="B69" s="21" t="s">
        <v>757</v>
      </c>
      <c r="C69" s="19"/>
      <c r="D69" s="19"/>
      <c r="E69" s="19" t="s">
        <v>404</v>
      </c>
      <c r="F69" s="19" t="s">
        <v>502</v>
      </c>
      <c r="G69" s="19" t="s">
        <v>500</v>
      </c>
      <c r="H69" s="19" t="s">
        <v>864</v>
      </c>
      <c r="I69" s="19" t="s">
        <v>864</v>
      </c>
      <c r="J69" s="19" t="s">
        <v>864</v>
      </c>
      <c r="K69" s="19"/>
      <c r="L69" s="19"/>
      <c r="M69" s="19" t="s">
        <v>361</v>
      </c>
      <c r="N69" s="19" t="str">
        <f>INDEX(PNGs!$J:J,MATCH($M69,PNGs!B:B,0))</f>
        <v>https://xmart-api-public.who.int/MNCAH/MCA_FACT_DATA?$filter=INDICATOR_FK%20in%20(%22AC_A4V%22,%22MN_IRTSYR%22,%22WCAH_ANCSYP%22,%22BC_FPSMM%22,%22BC_BASHP%22,%22CANUT_EBF%22,%22CANUT_EIBF%22,%22MN_ARV_PMTCT%22,%22TECI_ORS%22,%22TECI_ORSZINC%22,%22TECI_PNEUHCP%22,%22PNC_MOM%22,%22PNC_NB%22,%22AC_PAB%22,%22WCAH_DTP3%22,%22WCAH_MCV2%22)&amp;$select=INDICATOR_FK,YEAR_FK,COUNTRY_FK,COUNTRY_FK__CODE,ValueNumeric,ValueLow,ValueHigh,ValueStdDev,ValueStdErr,Comments,AGEGROUP_FK,Answer_FK,CauseGHE_FK,CauseGHEChild_FK,CauseENVCAUSE_FK,DatasourceLong,DatasourceShort,ImpSan_FK,ImpWater_FK,LivingArrangements_FK,MEASDEF_FK,MOTHEREDUCATION_FK,ProficiencyLevel_FK,ResideLTA_FK,RESIDENCEAREA_FK,SABDefinition_FK,SEVERITY_FK,SEVERITYHEARING_FK,SEVERITYVISION_FK,SEX_FK,WEALTHQUINTILE_FK</v>
      </c>
      <c r="O69" s="22" t="s">
        <v>134</v>
      </c>
      <c r="P69" s="20" t="s">
        <v>450</v>
      </c>
      <c r="Q69" s="20"/>
      <c r="R69" s="20"/>
      <c r="S69" s="19"/>
    </row>
    <row r="70" spans="1:19" s="15" customFormat="1" hidden="1" x14ac:dyDescent="0.3">
      <c r="A70" s="19">
        <v>63</v>
      </c>
      <c r="B70" s="21" t="s">
        <v>758</v>
      </c>
      <c r="C70" s="19" t="s">
        <v>867</v>
      </c>
      <c r="D70" s="19"/>
      <c r="E70" s="19" t="s">
        <v>32</v>
      </c>
      <c r="F70" s="19" t="s">
        <v>32</v>
      </c>
      <c r="G70" s="19" t="s">
        <v>410</v>
      </c>
      <c r="H70" s="19" t="s">
        <v>864</v>
      </c>
      <c r="I70" s="19" t="s">
        <v>864</v>
      </c>
      <c r="J70" s="19" t="s">
        <v>864</v>
      </c>
      <c r="K70" s="19"/>
      <c r="L70" s="19" t="s">
        <v>864</v>
      </c>
      <c r="M70" s="19" t="s">
        <v>864</v>
      </c>
      <c r="N70" s="19" t="e">
        <f>INDEX(PNGs!$J:J,MATCH($M70,PNGs!B:B,0))</f>
        <v>#N/A</v>
      </c>
      <c r="O70" s="19" t="s">
        <v>864</v>
      </c>
      <c r="P70" s="20" t="s">
        <v>864</v>
      </c>
      <c r="Q70" s="20" t="s">
        <v>864</v>
      </c>
      <c r="R70" s="20" t="s">
        <v>864</v>
      </c>
      <c r="S70" s="19"/>
    </row>
    <row r="71" spans="1:19" s="15" customFormat="1" hidden="1" x14ac:dyDescent="0.3">
      <c r="A71" s="21">
        <v>64</v>
      </c>
      <c r="B71" s="21" t="s">
        <v>759</v>
      </c>
      <c r="C71" s="21"/>
      <c r="D71" s="21"/>
      <c r="E71" s="21" t="s">
        <v>32</v>
      </c>
      <c r="F71" s="21" t="s">
        <v>503</v>
      </c>
      <c r="G71" s="21" t="s">
        <v>411</v>
      </c>
      <c r="H71" s="19" t="s">
        <v>864</v>
      </c>
      <c r="I71" s="19" t="s">
        <v>864</v>
      </c>
      <c r="J71" s="21" t="b">
        <v>0</v>
      </c>
      <c r="K71" s="21"/>
      <c r="L71" s="19" t="b">
        <v>0</v>
      </c>
      <c r="M71" s="19" t="s">
        <v>667</v>
      </c>
      <c r="N71" s="19">
        <f>INDEX(PNGs!$J:J,MATCH($M71,PNGs!B:B,0))</f>
        <v>0</v>
      </c>
      <c r="O71" s="22" t="s">
        <v>399</v>
      </c>
      <c r="P71" s="20" t="s">
        <v>505</v>
      </c>
      <c r="Q71" s="20"/>
      <c r="R71" s="38" t="s">
        <v>504</v>
      </c>
      <c r="S71" s="19"/>
    </row>
    <row r="72" spans="1:19" s="15" customFormat="1" ht="28.8" hidden="1" x14ac:dyDescent="0.3">
      <c r="A72" s="21">
        <v>65</v>
      </c>
      <c r="B72" s="21" t="s">
        <v>760</v>
      </c>
      <c r="C72" s="21"/>
      <c r="D72" s="21"/>
      <c r="E72" s="21" t="s">
        <v>32</v>
      </c>
      <c r="F72" s="21" t="s">
        <v>506</v>
      </c>
      <c r="G72" s="21" t="s">
        <v>411</v>
      </c>
      <c r="H72" s="19" t="s">
        <v>864</v>
      </c>
      <c r="I72" s="19" t="s">
        <v>864</v>
      </c>
      <c r="J72" s="21" t="b">
        <v>0</v>
      </c>
      <c r="K72" s="21"/>
      <c r="L72" s="19" t="b">
        <v>0</v>
      </c>
      <c r="M72" s="19" t="s">
        <v>667</v>
      </c>
      <c r="N72" s="19">
        <f>INDEX(PNGs!$J:J,MATCH($M72,PNGs!B:B,0))</f>
        <v>0</v>
      </c>
      <c r="O72" s="22" t="s">
        <v>399</v>
      </c>
      <c r="P72" s="20" t="s">
        <v>505</v>
      </c>
      <c r="Q72" s="20"/>
      <c r="R72" s="38" t="s">
        <v>504</v>
      </c>
      <c r="S72" s="19"/>
    </row>
    <row r="73" spans="1:19" s="15" customFormat="1" ht="28.8" hidden="1" x14ac:dyDescent="0.3">
      <c r="A73" s="21">
        <v>66</v>
      </c>
      <c r="B73" s="21" t="s">
        <v>763</v>
      </c>
      <c r="C73" s="19"/>
      <c r="D73" s="19"/>
      <c r="E73" s="19" t="s">
        <v>32</v>
      </c>
      <c r="F73" s="19" t="s">
        <v>23</v>
      </c>
      <c r="G73" s="19" t="s">
        <v>507</v>
      </c>
      <c r="H73" s="19" t="s">
        <v>864</v>
      </c>
      <c r="I73" s="19" t="s">
        <v>864</v>
      </c>
      <c r="J73" s="19" t="s">
        <v>864</v>
      </c>
      <c r="K73" s="19"/>
      <c r="L73" s="19" t="b">
        <v>0</v>
      </c>
      <c r="M73" s="19" t="s">
        <v>667</v>
      </c>
      <c r="N73" s="19">
        <f>INDEX(PNGs!$J:J,MATCH($M73,PNGs!B:B,0))</f>
        <v>0</v>
      </c>
      <c r="O73" s="22" t="s">
        <v>399</v>
      </c>
      <c r="P73" s="20" t="s">
        <v>505</v>
      </c>
      <c r="Q73" s="20"/>
      <c r="R73" s="38" t="s">
        <v>504</v>
      </c>
      <c r="S73" s="19"/>
    </row>
    <row r="74" spans="1:19" s="15" customFormat="1" hidden="1" x14ac:dyDescent="0.3">
      <c r="A74" s="19">
        <v>67</v>
      </c>
      <c r="B74" s="21" t="s">
        <v>761</v>
      </c>
      <c r="C74" s="19"/>
      <c r="D74" s="19"/>
      <c r="E74" s="19" t="s">
        <v>32</v>
      </c>
      <c r="F74" s="19" t="s">
        <v>508</v>
      </c>
      <c r="G74" s="19" t="s">
        <v>509</v>
      </c>
      <c r="H74" s="19" t="s">
        <v>864</v>
      </c>
      <c r="I74" s="19" t="s">
        <v>864</v>
      </c>
      <c r="J74" s="19" t="s">
        <v>864</v>
      </c>
      <c r="K74" s="19"/>
      <c r="L74" s="19" t="b">
        <v>0</v>
      </c>
      <c r="M74" s="19" t="s">
        <v>667</v>
      </c>
      <c r="N74" s="19">
        <f>INDEX(PNGs!$J:J,MATCH($M74,PNGs!B:B,0))</f>
        <v>0</v>
      </c>
      <c r="O74" s="22" t="s">
        <v>399</v>
      </c>
      <c r="P74" s="20" t="s">
        <v>505</v>
      </c>
      <c r="Q74" s="20"/>
      <c r="R74" s="38" t="s">
        <v>504</v>
      </c>
      <c r="S74" s="19"/>
    </row>
    <row r="75" spans="1:19" s="15" customFormat="1" ht="28.8" hidden="1" x14ac:dyDescent="0.3">
      <c r="A75" s="21">
        <v>68</v>
      </c>
      <c r="B75" s="21" t="s">
        <v>762</v>
      </c>
      <c r="C75" s="19"/>
      <c r="D75" s="19"/>
      <c r="E75" s="19" t="s">
        <v>32</v>
      </c>
      <c r="F75" s="19" t="s">
        <v>510</v>
      </c>
      <c r="G75" s="19" t="s">
        <v>511</v>
      </c>
      <c r="H75" s="19" t="s">
        <v>864</v>
      </c>
      <c r="I75" s="19" t="s">
        <v>864</v>
      </c>
      <c r="J75" s="19" t="s">
        <v>864</v>
      </c>
      <c r="K75" s="19"/>
      <c r="L75" s="19" t="b">
        <v>0</v>
      </c>
      <c r="M75" s="19" t="s">
        <v>667</v>
      </c>
      <c r="N75" s="19">
        <f>INDEX(PNGs!$J:J,MATCH($M75,PNGs!B:B,0))</f>
        <v>0</v>
      </c>
      <c r="O75" s="22" t="s">
        <v>399</v>
      </c>
      <c r="P75" s="20" t="s">
        <v>505</v>
      </c>
      <c r="Q75" s="20"/>
      <c r="R75" s="38" t="s">
        <v>504</v>
      </c>
      <c r="S75" s="19"/>
    </row>
    <row r="76" spans="1:19" s="15" customFormat="1" ht="43.2" hidden="1" x14ac:dyDescent="0.3">
      <c r="A76" s="19">
        <v>69</v>
      </c>
      <c r="B76" s="21" t="s">
        <v>764</v>
      </c>
      <c r="C76" s="19"/>
      <c r="D76" s="19"/>
      <c r="E76" s="19" t="s">
        <v>32</v>
      </c>
      <c r="F76" s="19" t="s">
        <v>23</v>
      </c>
      <c r="G76" s="19" t="s">
        <v>507</v>
      </c>
      <c r="H76" s="19" t="s">
        <v>400</v>
      </c>
      <c r="I76" s="19" t="s">
        <v>864</v>
      </c>
      <c r="J76" s="19" t="s">
        <v>864</v>
      </c>
      <c r="K76" s="19"/>
      <c r="L76" s="19"/>
      <c r="M76" s="19" t="s">
        <v>21</v>
      </c>
      <c r="N76" s="19" t="str">
        <f>INDEX(PNGs!$J:J,MATCH($M76,PNGs!B:B,0))</f>
        <v>fig 1 from 2023 unigme report (pg 12)</v>
      </c>
      <c r="O76" s="22" t="s">
        <v>399</v>
      </c>
      <c r="P76" s="20" t="s">
        <v>435</v>
      </c>
      <c r="Q76" s="20"/>
      <c r="R76" s="38" t="s">
        <v>504</v>
      </c>
      <c r="S76" s="19" t="s">
        <v>669</v>
      </c>
    </row>
    <row r="77" spans="1:19" s="15" customFormat="1" ht="43.2" hidden="1" x14ac:dyDescent="0.3">
      <c r="A77" s="19">
        <v>69</v>
      </c>
      <c r="B77" s="21" t="s">
        <v>764</v>
      </c>
      <c r="C77" s="19"/>
      <c r="D77" s="19"/>
      <c r="E77" s="19" t="s">
        <v>32</v>
      </c>
      <c r="F77" s="19" t="s">
        <v>23</v>
      </c>
      <c r="G77" s="19" t="s">
        <v>507</v>
      </c>
      <c r="H77" s="19" t="s">
        <v>400</v>
      </c>
      <c r="I77" s="19" t="s">
        <v>864</v>
      </c>
      <c r="J77" s="19" t="s">
        <v>864</v>
      </c>
      <c r="K77" s="19"/>
      <c r="L77" s="19"/>
      <c r="M77" s="19" t="s">
        <v>22</v>
      </c>
      <c r="N77" s="19" t="str">
        <f>INDEX(PNGs!$J:J,MATCH($M77,PNGs!B:B,0))</f>
        <v>fig 1 from 2023 unigme report (pg 12)</v>
      </c>
      <c r="O77" s="22" t="s">
        <v>399</v>
      </c>
      <c r="P77" s="20" t="s">
        <v>435</v>
      </c>
      <c r="Q77" s="20"/>
      <c r="R77" s="38" t="s">
        <v>504</v>
      </c>
      <c r="S77" s="19" t="s">
        <v>668</v>
      </c>
    </row>
    <row r="78" spans="1:19" s="15" customFormat="1" ht="43.2" hidden="1" x14ac:dyDescent="0.3">
      <c r="A78" s="19">
        <v>70</v>
      </c>
      <c r="B78" s="21" t="s">
        <v>765</v>
      </c>
      <c r="C78" s="19"/>
      <c r="D78" s="19"/>
      <c r="E78" s="19" t="s">
        <v>32</v>
      </c>
      <c r="F78" s="19" t="s">
        <v>512</v>
      </c>
      <c r="G78" s="19" t="s">
        <v>513</v>
      </c>
      <c r="H78" s="19" t="s">
        <v>864</v>
      </c>
      <c r="I78" s="19" t="s">
        <v>864</v>
      </c>
      <c r="J78" s="19" t="s">
        <v>864</v>
      </c>
      <c r="K78" s="19"/>
      <c r="L78" s="19" t="b">
        <v>0</v>
      </c>
      <c r="M78" s="19" t="s">
        <v>667</v>
      </c>
      <c r="N78" s="34" t="s">
        <v>451</v>
      </c>
      <c r="O78" s="22" t="s">
        <v>514</v>
      </c>
      <c r="P78" s="20" t="s">
        <v>53</v>
      </c>
      <c r="Q78" s="20"/>
      <c r="R78" s="20" t="s">
        <v>515</v>
      </c>
      <c r="S78" s="19"/>
    </row>
    <row r="79" spans="1:19" s="15" customFormat="1" ht="43.2" hidden="1" x14ac:dyDescent="0.3">
      <c r="A79" s="19">
        <v>71</v>
      </c>
      <c r="B79" s="19" t="s">
        <v>767</v>
      </c>
      <c r="C79" s="19"/>
      <c r="D79" s="19"/>
      <c r="E79" s="19" t="s">
        <v>32</v>
      </c>
      <c r="F79" s="19" t="s">
        <v>516</v>
      </c>
      <c r="G79" s="19" t="s">
        <v>517</v>
      </c>
      <c r="H79" s="19" t="s">
        <v>864</v>
      </c>
      <c r="I79" s="19" t="s">
        <v>864</v>
      </c>
      <c r="J79" s="19" t="s">
        <v>864</v>
      </c>
      <c r="K79" s="19"/>
      <c r="L79" s="19" t="b">
        <v>0</v>
      </c>
      <c r="M79" s="19" t="s">
        <v>667</v>
      </c>
      <c r="N79" s="34" t="s">
        <v>451</v>
      </c>
      <c r="O79" s="22" t="s">
        <v>514</v>
      </c>
      <c r="P79" s="20" t="s">
        <v>53</v>
      </c>
      <c r="Q79" s="20"/>
      <c r="R79" s="20" t="s">
        <v>515</v>
      </c>
      <c r="S79" s="19"/>
    </row>
    <row r="80" spans="1:19" s="15" customFormat="1" ht="43.2" hidden="1" x14ac:dyDescent="0.3">
      <c r="A80" s="19">
        <v>72</v>
      </c>
      <c r="B80" s="19" t="s">
        <v>766</v>
      </c>
      <c r="C80" s="19"/>
      <c r="D80" s="19"/>
      <c r="E80" s="19" t="s">
        <v>32</v>
      </c>
      <c r="F80" s="19" t="s">
        <v>518</v>
      </c>
      <c r="G80" s="19" t="s">
        <v>513</v>
      </c>
      <c r="H80" s="19" t="s">
        <v>864</v>
      </c>
      <c r="I80" s="19" t="s">
        <v>864</v>
      </c>
      <c r="J80" s="19" t="s">
        <v>864</v>
      </c>
      <c r="K80" s="19"/>
      <c r="L80" s="19" t="b">
        <v>0</v>
      </c>
      <c r="M80" s="19" t="s">
        <v>667</v>
      </c>
      <c r="N80" s="34" t="s">
        <v>451</v>
      </c>
      <c r="O80" s="22" t="s">
        <v>514</v>
      </c>
      <c r="P80" s="20" t="s">
        <v>53</v>
      </c>
      <c r="Q80" s="20"/>
      <c r="R80" s="20" t="s">
        <v>515</v>
      </c>
      <c r="S80" s="19"/>
    </row>
    <row r="81" spans="1:19" s="15" customFormat="1" ht="43.2" hidden="1" x14ac:dyDescent="0.3">
      <c r="A81" s="19">
        <v>73</v>
      </c>
      <c r="B81" s="19" t="s">
        <v>768</v>
      </c>
      <c r="C81" s="19"/>
      <c r="D81" s="19"/>
      <c r="E81" s="19" t="s">
        <v>32</v>
      </c>
      <c r="F81" s="19" t="s">
        <v>519</v>
      </c>
      <c r="G81" s="19" t="s">
        <v>513</v>
      </c>
      <c r="H81" s="19" t="s">
        <v>864</v>
      </c>
      <c r="I81" s="19" t="s">
        <v>864</v>
      </c>
      <c r="J81" s="19" t="s">
        <v>864</v>
      </c>
      <c r="K81" s="19"/>
      <c r="L81" s="19" t="b">
        <v>0</v>
      </c>
      <c r="M81" s="19" t="s">
        <v>667</v>
      </c>
      <c r="N81" s="34" t="s">
        <v>451</v>
      </c>
      <c r="O81" s="22" t="s">
        <v>514</v>
      </c>
      <c r="P81" s="20" t="s">
        <v>53</v>
      </c>
      <c r="Q81" s="20"/>
      <c r="R81" s="20" t="s">
        <v>515</v>
      </c>
      <c r="S81" s="19"/>
    </row>
    <row r="82" spans="1:19" s="15" customFormat="1" ht="43.2" hidden="1" x14ac:dyDescent="0.3">
      <c r="A82" s="19">
        <v>74</v>
      </c>
      <c r="B82" s="19" t="s">
        <v>769</v>
      </c>
      <c r="C82" s="19"/>
      <c r="D82" s="19"/>
      <c r="E82" s="19" t="s">
        <v>32</v>
      </c>
      <c r="F82" s="19" t="s">
        <v>520</v>
      </c>
      <c r="G82" s="19" t="s">
        <v>513</v>
      </c>
      <c r="H82" s="19" t="s">
        <v>864</v>
      </c>
      <c r="I82" s="19" t="s">
        <v>864</v>
      </c>
      <c r="J82" s="19" t="s">
        <v>864</v>
      </c>
      <c r="K82" s="19"/>
      <c r="L82" s="19" t="b">
        <v>0</v>
      </c>
      <c r="M82" s="19" t="s">
        <v>667</v>
      </c>
      <c r="N82" s="34" t="s">
        <v>451</v>
      </c>
      <c r="O82" s="22" t="s">
        <v>514</v>
      </c>
      <c r="P82" s="20" t="s">
        <v>53</v>
      </c>
      <c r="Q82" s="20"/>
      <c r="R82" s="20" t="s">
        <v>515</v>
      </c>
      <c r="S82" s="19"/>
    </row>
    <row r="83" spans="1:19" s="15" customFormat="1" ht="43.2" hidden="1" x14ac:dyDescent="0.3">
      <c r="A83" s="19">
        <v>75</v>
      </c>
      <c r="B83" s="19" t="s">
        <v>770</v>
      </c>
      <c r="C83" s="19"/>
      <c r="D83" s="19"/>
      <c r="E83" s="19" t="s">
        <v>32</v>
      </c>
      <c r="F83" s="19" t="s">
        <v>521</v>
      </c>
      <c r="G83" s="19" t="s">
        <v>513</v>
      </c>
      <c r="H83" s="19" t="s">
        <v>864</v>
      </c>
      <c r="I83" s="19" t="s">
        <v>864</v>
      </c>
      <c r="J83" s="19" t="s">
        <v>864</v>
      </c>
      <c r="K83" s="19"/>
      <c r="L83" s="19" t="b">
        <v>0</v>
      </c>
      <c r="M83" s="19" t="s">
        <v>667</v>
      </c>
      <c r="N83" s="34" t="s">
        <v>451</v>
      </c>
      <c r="O83" s="22" t="s">
        <v>514</v>
      </c>
      <c r="P83" s="20" t="s">
        <v>53</v>
      </c>
      <c r="Q83" s="20"/>
      <c r="R83" s="20" t="s">
        <v>515</v>
      </c>
      <c r="S83" s="19"/>
    </row>
    <row r="84" spans="1:19" s="15" customFormat="1" ht="57.6" hidden="1" x14ac:dyDescent="0.3">
      <c r="A84" s="19">
        <v>76</v>
      </c>
      <c r="B84" s="19" t="s">
        <v>771</v>
      </c>
      <c r="C84" s="19"/>
      <c r="D84" s="19"/>
      <c r="E84" s="19" t="s">
        <v>32</v>
      </c>
      <c r="F84" s="19" t="s">
        <v>522</v>
      </c>
      <c r="G84" s="19" t="s">
        <v>513</v>
      </c>
      <c r="H84" s="19" t="s">
        <v>864</v>
      </c>
      <c r="I84" s="19" t="s">
        <v>864</v>
      </c>
      <c r="J84" s="19" t="s">
        <v>864</v>
      </c>
      <c r="K84" s="19"/>
      <c r="L84" s="19" t="b">
        <v>0</v>
      </c>
      <c r="M84" s="19" t="s">
        <v>667</v>
      </c>
      <c r="N84" s="34" t="s">
        <v>451</v>
      </c>
      <c r="O84" s="22" t="s">
        <v>514</v>
      </c>
      <c r="P84" s="20" t="s">
        <v>53</v>
      </c>
      <c r="Q84" s="20"/>
      <c r="R84" s="20" t="s">
        <v>515</v>
      </c>
      <c r="S84" s="19"/>
    </row>
    <row r="85" spans="1:19" s="15" customFormat="1" ht="43.2" hidden="1" x14ac:dyDescent="0.3">
      <c r="A85" s="19">
        <v>77</v>
      </c>
      <c r="B85" s="19" t="s">
        <v>772</v>
      </c>
      <c r="C85" s="19"/>
      <c r="D85" s="19"/>
      <c r="E85" s="19" t="s">
        <v>32</v>
      </c>
      <c r="F85" s="19" t="s">
        <v>523</v>
      </c>
      <c r="G85" s="19" t="s">
        <v>513</v>
      </c>
      <c r="H85" s="19" t="s">
        <v>864</v>
      </c>
      <c r="I85" s="19" t="s">
        <v>864</v>
      </c>
      <c r="J85" s="19" t="s">
        <v>864</v>
      </c>
      <c r="K85" s="19"/>
      <c r="L85" s="19" t="b">
        <v>0</v>
      </c>
      <c r="M85" s="19" t="s">
        <v>667</v>
      </c>
      <c r="N85" s="34" t="s">
        <v>451</v>
      </c>
      <c r="O85" s="22" t="s">
        <v>514</v>
      </c>
      <c r="P85" s="20" t="s">
        <v>53</v>
      </c>
      <c r="Q85" s="20"/>
      <c r="R85" s="20" t="s">
        <v>515</v>
      </c>
      <c r="S85" s="19"/>
    </row>
    <row r="86" spans="1:19" s="15" customFormat="1" ht="57.6" hidden="1" x14ac:dyDescent="0.3">
      <c r="A86" s="19">
        <v>78</v>
      </c>
      <c r="B86" s="19" t="s">
        <v>773</v>
      </c>
      <c r="C86" s="19"/>
      <c r="D86" s="19"/>
      <c r="E86" s="19" t="s">
        <v>32</v>
      </c>
      <c r="F86" s="19" t="s">
        <v>524</v>
      </c>
      <c r="G86" s="19" t="s">
        <v>525</v>
      </c>
      <c r="H86" s="19" t="s">
        <v>864</v>
      </c>
      <c r="I86" s="19" t="s">
        <v>864</v>
      </c>
      <c r="J86" s="19" t="s">
        <v>864</v>
      </c>
      <c r="K86" s="19"/>
      <c r="L86" s="19" t="b">
        <v>0</v>
      </c>
      <c r="M86" s="19" t="s">
        <v>667</v>
      </c>
      <c r="N86" s="34" t="s">
        <v>451</v>
      </c>
      <c r="O86" s="22" t="s">
        <v>514</v>
      </c>
      <c r="P86" s="20" t="s">
        <v>526</v>
      </c>
      <c r="Q86" s="20"/>
      <c r="R86" s="20" t="s">
        <v>515</v>
      </c>
      <c r="S86" s="19"/>
    </row>
    <row r="87" spans="1:19" s="15" customFormat="1" ht="57.6" hidden="1" x14ac:dyDescent="0.3">
      <c r="A87" s="19">
        <v>79</v>
      </c>
      <c r="B87" s="19" t="s">
        <v>774</v>
      </c>
      <c r="C87" s="19"/>
      <c r="D87" s="19"/>
      <c r="E87" s="19" t="s">
        <v>32</v>
      </c>
      <c r="F87" s="19" t="s">
        <v>524</v>
      </c>
      <c r="G87" s="19" t="s">
        <v>527</v>
      </c>
      <c r="H87" s="19" t="s">
        <v>864</v>
      </c>
      <c r="I87" s="19" t="s">
        <v>864</v>
      </c>
      <c r="J87" s="19" t="s">
        <v>864</v>
      </c>
      <c r="K87" s="19"/>
      <c r="L87" s="19" t="b">
        <v>0</v>
      </c>
      <c r="M87" s="19" t="s">
        <v>667</v>
      </c>
      <c r="N87" s="34" t="s">
        <v>451</v>
      </c>
      <c r="O87" s="22" t="s">
        <v>514</v>
      </c>
      <c r="P87" s="20" t="s">
        <v>526</v>
      </c>
      <c r="Q87" s="20"/>
      <c r="R87" s="20" t="s">
        <v>515</v>
      </c>
      <c r="S87" s="19"/>
    </row>
    <row r="88" spans="1:19" s="12" customFormat="1" ht="28.8" hidden="1" x14ac:dyDescent="0.3">
      <c r="A88" s="21">
        <v>80</v>
      </c>
      <c r="B88" s="19" t="s">
        <v>775</v>
      </c>
      <c r="C88" s="21"/>
      <c r="D88" s="21"/>
      <c r="E88" s="21" t="s">
        <v>32</v>
      </c>
      <c r="F88" s="21" t="s">
        <v>528</v>
      </c>
      <c r="G88" s="21"/>
      <c r="H88" s="21" t="b">
        <v>0</v>
      </c>
      <c r="I88" s="21" t="s">
        <v>864</v>
      </c>
      <c r="J88" s="21" t="s">
        <v>864</v>
      </c>
      <c r="K88" s="21"/>
      <c r="L88" s="21" t="b">
        <v>0</v>
      </c>
      <c r="M88" s="21" t="s">
        <v>667</v>
      </c>
      <c r="N88" s="21" t="s">
        <v>864</v>
      </c>
      <c r="O88" s="22" t="s">
        <v>687</v>
      </c>
      <c r="P88" s="26" t="s">
        <v>53</v>
      </c>
      <c r="Q88" s="26"/>
      <c r="R88" s="26" t="s">
        <v>53</v>
      </c>
      <c r="S88" s="21"/>
    </row>
    <row r="89" spans="1:19" s="15" customFormat="1" ht="28.8" hidden="1" x14ac:dyDescent="0.3">
      <c r="A89" s="19">
        <v>81</v>
      </c>
      <c r="B89" s="19" t="s">
        <v>776</v>
      </c>
      <c r="C89" s="19"/>
      <c r="D89" s="19"/>
      <c r="E89" s="19" t="s">
        <v>32</v>
      </c>
      <c r="F89" s="19" t="s">
        <v>529</v>
      </c>
      <c r="G89" s="19"/>
      <c r="H89" s="19" t="s">
        <v>864</v>
      </c>
      <c r="I89" s="19" t="s">
        <v>864</v>
      </c>
      <c r="J89" s="19" t="s">
        <v>864</v>
      </c>
      <c r="K89" s="19"/>
      <c r="L89" s="19" t="b">
        <v>0</v>
      </c>
      <c r="M89" s="19" t="s">
        <v>667</v>
      </c>
      <c r="N89" s="19" t="s">
        <v>864</v>
      </c>
      <c r="O89" s="22" t="s">
        <v>399</v>
      </c>
      <c r="P89" s="20" t="s">
        <v>505</v>
      </c>
      <c r="Q89" s="20"/>
      <c r="R89" s="38" t="s">
        <v>504</v>
      </c>
      <c r="S89" s="19"/>
    </row>
    <row r="90" spans="1:19" s="15" customFormat="1" ht="28.8" hidden="1" x14ac:dyDescent="0.3">
      <c r="A90" s="19">
        <v>82</v>
      </c>
      <c r="B90" s="19" t="s">
        <v>777</v>
      </c>
      <c r="C90" s="19"/>
      <c r="D90" s="19"/>
      <c r="E90" s="19" t="s">
        <v>32</v>
      </c>
      <c r="F90" s="19" t="s">
        <v>530</v>
      </c>
      <c r="G90" s="19"/>
      <c r="H90" s="19" t="s">
        <v>864</v>
      </c>
      <c r="I90" s="19" t="s">
        <v>864</v>
      </c>
      <c r="J90" s="19" t="s">
        <v>864</v>
      </c>
      <c r="K90" s="19"/>
      <c r="L90" s="19" t="b">
        <v>0</v>
      </c>
      <c r="M90" s="19" t="s">
        <v>667</v>
      </c>
      <c r="N90" s="19" t="s">
        <v>864</v>
      </c>
      <c r="O90" s="22" t="s">
        <v>399</v>
      </c>
      <c r="P90" s="20" t="s">
        <v>505</v>
      </c>
      <c r="Q90" s="20"/>
      <c r="R90" s="38" t="s">
        <v>504</v>
      </c>
      <c r="S90" s="19"/>
    </row>
    <row r="91" spans="1:19" s="15" customFormat="1" hidden="1" x14ac:dyDescent="0.3">
      <c r="A91" s="19">
        <v>83</v>
      </c>
      <c r="B91" s="19" t="s">
        <v>778</v>
      </c>
      <c r="C91" s="19"/>
      <c r="D91" s="19"/>
      <c r="E91" s="19" t="s">
        <v>32</v>
      </c>
      <c r="F91" s="19" t="s">
        <v>531</v>
      </c>
      <c r="G91" s="19"/>
      <c r="H91" s="19" t="s">
        <v>864</v>
      </c>
      <c r="I91" s="19" t="s">
        <v>864</v>
      </c>
      <c r="J91" s="19" t="s">
        <v>864</v>
      </c>
      <c r="K91" s="19"/>
      <c r="L91" s="19" t="b">
        <v>0</v>
      </c>
      <c r="M91" s="19" t="s">
        <v>667</v>
      </c>
      <c r="N91" s="28" t="s">
        <v>451</v>
      </c>
      <c r="O91" s="22" t="s">
        <v>864</v>
      </c>
      <c r="P91" s="20" t="s">
        <v>450</v>
      </c>
      <c r="Q91" s="20"/>
      <c r="R91" s="20" t="s">
        <v>864</v>
      </c>
      <c r="S91" s="19"/>
    </row>
    <row r="92" spans="1:19" s="15" customFormat="1" ht="28.8" hidden="1" x14ac:dyDescent="0.3">
      <c r="A92" s="19">
        <v>84</v>
      </c>
      <c r="B92" s="19" t="s">
        <v>779</v>
      </c>
      <c r="C92" s="19"/>
      <c r="D92" s="19"/>
      <c r="E92" s="19" t="s">
        <v>32</v>
      </c>
      <c r="F92" s="19" t="s">
        <v>532</v>
      </c>
      <c r="G92" s="19"/>
      <c r="H92" s="19" t="s">
        <v>864</v>
      </c>
      <c r="I92" s="19" t="s">
        <v>864</v>
      </c>
      <c r="J92" s="19" t="s">
        <v>864</v>
      </c>
      <c r="K92" s="19"/>
      <c r="L92" s="19" t="b">
        <v>0</v>
      </c>
      <c r="M92" s="19" t="s">
        <v>667</v>
      </c>
      <c r="N92" s="28" t="s">
        <v>451</v>
      </c>
      <c r="O92" s="22" t="s">
        <v>864</v>
      </c>
      <c r="P92" s="20" t="s">
        <v>450</v>
      </c>
      <c r="Q92" s="20"/>
      <c r="R92" s="20"/>
      <c r="S92" s="19"/>
    </row>
    <row r="93" spans="1:19" s="15" customFormat="1" ht="28.8" hidden="1" x14ac:dyDescent="0.3">
      <c r="A93" s="21">
        <v>85</v>
      </c>
      <c r="B93" s="19" t="s">
        <v>780</v>
      </c>
      <c r="C93" s="21"/>
      <c r="D93" s="21"/>
      <c r="E93" s="21" t="s">
        <v>32</v>
      </c>
      <c r="F93" s="21" t="s">
        <v>533</v>
      </c>
      <c r="G93" s="21" t="s">
        <v>411</v>
      </c>
      <c r="H93" s="19" t="s">
        <v>864</v>
      </c>
      <c r="I93" s="19" t="s">
        <v>864</v>
      </c>
      <c r="J93" s="21" t="b">
        <v>0</v>
      </c>
      <c r="K93" s="21"/>
      <c r="L93" s="19" t="b">
        <v>0</v>
      </c>
      <c r="M93" s="19" t="s">
        <v>667</v>
      </c>
      <c r="N93" s="28" t="s">
        <v>451</v>
      </c>
      <c r="O93" s="22" t="s">
        <v>534</v>
      </c>
      <c r="P93" s="20" t="s">
        <v>450</v>
      </c>
      <c r="Q93" s="20"/>
      <c r="R93" s="20"/>
      <c r="S93" s="19"/>
    </row>
    <row r="94" spans="1:19" s="15" customFormat="1" ht="28.8" hidden="1" x14ac:dyDescent="0.3">
      <c r="A94" s="21">
        <v>86</v>
      </c>
      <c r="B94" s="19" t="s">
        <v>781</v>
      </c>
      <c r="C94" s="21"/>
      <c r="D94" s="21"/>
      <c r="E94" s="21" t="s">
        <v>32</v>
      </c>
      <c r="F94" s="21" t="s">
        <v>535</v>
      </c>
      <c r="G94" s="21" t="s">
        <v>411</v>
      </c>
      <c r="H94" s="19" t="s">
        <v>864</v>
      </c>
      <c r="I94" s="19" t="s">
        <v>864</v>
      </c>
      <c r="J94" s="21" t="b">
        <v>0</v>
      </c>
      <c r="K94" s="21"/>
      <c r="L94" s="19" t="b">
        <v>0</v>
      </c>
      <c r="M94" s="19" t="s">
        <v>667</v>
      </c>
      <c r="N94" s="19" t="s">
        <v>864</v>
      </c>
      <c r="O94" s="22" t="s">
        <v>399</v>
      </c>
      <c r="P94" s="20" t="s">
        <v>450</v>
      </c>
      <c r="Q94" s="20"/>
      <c r="R94" s="20"/>
      <c r="S94" s="19"/>
    </row>
    <row r="95" spans="1:19" s="15" customFormat="1" ht="28.8" hidden="1" x14ac:dyDescent="0.3">
      <c r="A95" s="21">
        <v>87</v>
      </c>
      <c r="B95" s="19" t="s">
        <v>782</v>
      </c>
      <c r="C95" s="21"/>
      <c r="D95" s="21"/>
      <c r="E95" s="21" t="s">
        <v>32</v>
      </c>
      <c r="F95" s="21" t="s">
        <v>539</v>
      </c>
      <c r="G95" s="21" t="s">
        <v>411</v>
      </c>
      <c r="H95" s="19" t="s">
        <v>864</v>
      </c>
      <c r="I95" s="19" t="s">
        <v>864</v>
      </c>
      <c r="J95" s="21" t="b">
        <v>0</v>
      </c>
      <c r="K95" s="21"/>
      <c r="L95" s="19" t="b">
        <v>0</v>
      </c>
      <c r="M95" s="19" t="s">
        <v>667</v>
      </c>
      <c r="N95" s="19" t="s">
        <v>864</v>
      </c>
      <c r="O95" s="22" t="s">
        <v>399</v>
      </c>
      <c r="P95" s="20" t="s">
        <v>450</v>
      </c>
      <c r="Q95" s="20"/>
      <c r="R95" s="20"/>
      <c r="S95" s="19"/>
    </row>
    <row r="96" spans="1:19" s="15" customFormat="1" ht="86.4" hidden="1" x14ac:dyDescent="0.3">
      <c r="A96" s="19">
        <v>88</v>
      </c>
      <c r="B96" s="19" t="s">
        <v>783</v>
      </c>
      <c r="C96" s="19"/>
      <c r="D96" s="19"/>
      <c r="E96" s="19" t="s">
        <v>32</v>
      </c>
      <c r="F96" s="19" t="s">
        <v>540</v>
      </c>
      <c r="G96" s="19"/>
      <c r="H96" s="19" t="s">
        <v>864</v>
      </c>
      <c r="I96" s="19" t="s">
        <v>864</v>
      </c>
      <c r="J96" s="19" t="s">
        <v>864</v>
      </c>
      <c r="K96" s="19"/>
      <c r="L96" s="19" t="b">
        <v>0</v>
      </c>
      <c r="M96" s="19" t="s">
        <v>667</v>
      </c>
      <c r="N96" s="28" t="s">
        <v>451</v>
      </c>
      <c r="O96" s="22" t="s">
        <v>541</v>
      </c>
      <c r="P96" s="20" t="s">
        <v>450</v>
      </c>
      <c r="Q96" s="20"/>
      <c r="R96" s="20"/>
      <c r="S96" s="21"/>
    </row>
    <row r="97" spans="1:19" s="15" customFormat="1" hidden="1" x14ac:dyDescent="0.3">
      <c r="A97" s="19">
        <v>89</v>
      </c>
      <c r="B97" s="21" t="s">
        <v>784</v>
      </c>
      <c r="C97" s="19" t="s">
        <v>867</v>
      </c>
      <c r="D97" s="19"/>
      <c r="E97" s="19" t="s">
        <v>405</v>
      </c>
      <c r="F97" s="19" t="s">
        <v>405</v>
      </c>
      <c r="G97" s="19" t="s">
        <v>410</v>
      </c>
      <c r="H97" s="19" t="s">
        <v>864</v>
      </c>
      <c r="I97" s="19" t="s">
        <v>864</v>
      </c>
      <c r="J97" s="19" t="s">
        <v>864</v>
      </c>
      <c r="K97" s="19"/>
      <c r="L97" s="19" t="s">
        <v>864</v>
      </c>
      <c r="M97" s="19" t="s">
        <v>864</v>
      </c>
      <c r="N97" s="19" t="e">
        <f>INDEX(PNGs!$J:J,MATCH($M97,PNGs!B:B,0))</f>
        <v>#N/A</v>
      </c>
      <c r="O97" s="22" t="s">
        <v>864</v>
      </c>
      <c r="P97" s="20" t="s">
        <v>864</v>
      </c>
      <c r="Q97" s="20" t="s">
        <v>864</v>
      </c>
      <c r="R97" s="20" t="s">
        <v>864</v>
      </c>
      <c r="S97" s="19"/>
    </row>
    <row r="98" spans="1:19" s="15" customFormat="1" ht="316.8" hidden="1" x14ac:dyDescent="0.3">
      <c r="A98" s="19">
        <v>90</v>
      </c>
      <c r="B98" s="21" t="s">
        <v>785</v>
      </c>
      <c r="C98" s="19"/>
      <c r="D98" s="19"/>
      <c r="E98" s="19" t="s">
        <v>405</v>
      </c>
      <c r="F98" s="19" t="s">
        <v>542</v>
      </c>
      <c r="G98" s="19" t="s">
        <v>543</v>
      </c>
      <c r="H98" s="19" t="s">
        <v>864</v>
      </c>
      <c r="I98" s="19" t="s">
        <v>864</v>
      </c>
      <c r="J98" s="19" t="s">
        <v>864</v>
      </c>
      <c r="K98" s="19"/>
      <c r="L98" s="19"/>
      <c r="M98" s="19" t="s">
        <v>144</v>
      </c>
      <c r="N98" s="19" t="str">
        <f>INDEX(PNGs!$J:J,MATCH($M98,PNGs!B:B,0))</f>
        <v>https://xmart-api-public.who.int/MNCAH/MCA_FACT_DATA?$filter=INDICATOR_FK%20in%20(%22TECI_ORS%22,%22TECI_ORSZINC%22,%22TECI_PNEUHCP%22)&amp;$select=INDICATOR_FK,YEAR_FK,COUNTRY_FK,COUNTRY_FK__CODE,ValueString,ValueNumeric,ValueLow,ValueHigh,ValueStdDev,ValueStdErr,Comments,EffectiveDate,EndDate,Status,AGEGROUP_FK,AGEGROUP_FK__CODE,Answer_FK,CauseGHE_FK,CauseGHE_FK__CODE,CauseGHEChild_FK,CauseGHEChild_FK__CODE,CauseENVCAUSE_FK,CauseENVCAUSE_FK__CODE,DatasourceLong,DatasourceShort,ImpSan_FK,ImpWater_FK,LivingArrangements_FK,MEASDEF_FK,MOTHEREDUCATION_FK,ProficiencyLevel_FK,ResideLTA_FK,RESIDENCEAREA_FK,SABDefinition_FK,SEVERITY_FK,SEVERITYHEARING_FK,SEVERITYVISION_FK,SEX_FK,WEALTHQUINTILE_FK</v>
      </c>
      <c r="O98" s="22" t="s">
        <v>544</v>
      </c>
      <c r="P98" s="20" t="s">
        <v>450</v>
      </c>
      <c r="Q98" s="20"/>
      <c r="R98" s="20"/>
      <c r="S98" s="19"/>
    </row>
    <row r="99" spans="1:19" s="15" customFormat="1" ht="201.6" hidden="1" x14ac:dyDescent="0.3">
      <c r="A99" s="19">
        <v>91</v>
      </c>
      <c r="B99" s="19" t="s">
        <v>786</v>
      </c>
      <c r="C99" s="19"/>
      <c r="D99" s="19"/>
      <c r="E99" s="19" t="s">
        <v>405</v>
      </c>
      <c r="F99" s="19" t="s">
        <v>545</v>
      </c>
      <c r="G99" s="19" t="s">
        <v>546</v>
      </c>
      <c r="H99" s="19" t="s">
        <v>864</v>
      </c>
      <c r="I99" s="19" t="s">
        <v>864</v>
      </c>
      <c r="J99" s="19" t="s">
        <v>864</v>
      </c>
      <c r="K99" s="19"/>
      <c r="L99" s="19"/>
      <c r="M99" s="19" t="s">
        <v>142</v>
      </c>
      <c r="N99" s="19" t="str">
        <f>INDEX(PNGs!$J:J,MATCH($M99,PNGs!B:B,0))</f>
        <v>https://ghoapi.azureedge.net/api/ors</v>
      </c>
      <c r="O99" s="22" t="s">
        <v>684</v>
      </c>
      <c r="P99" s="20" t="s">
        <v>547</v>
      </c>
      <c r="Q99" s="20"/>
      <c r="R99" s="20"/>
      <c r="S99" s="19" t="s">
        <v>548</v>
      </c>
    </row>
    <row r="100" spans="1:19" s="15" customFormat="1" ht="201.6" hidden="1" x14ac:dyDescent="0.3">
      <c r="A100" s="19">
        <v>92</v>
      </c>
      <c r="B100" s="19" t="s">
        <v>787</v>
      </c>
      <c r="C100" s="19"/>
      <c r="D100" s="19"/>
      <c r="E100" s="19" t="s">
        <v>405</v>
      </c>
      <c r="F100" s="19" t="s">
        <v>549</v>
      </c>
      <c r="G100" s="19" t="s">
        <v>550</v>
      </c>
      <c r="H100" s="19" t="s">
        <v>864</v>
      </c>
      <c r="I100" s="19" t="s">
        <v>864</v>
      </c>
      <c r="J100" s="19" t="s">
        <v>864</v>
      </c>
      <c r="K100" s="19"/>
      <c r="L100" s="19"/>
      <c r="M100" s="19" t="s">
        <v>367</v>
      </c>
      <c r="N100" s="19" t="str">
        <f>INDEX(PNGs!$J:J,MATCH($M100,PNGs!B:B,0))</f>
        <v>https://ghoapi.azureedge.net/api/ors</v>
      </c>
      <c r="O100" s="22" t="s">
        <v>684</v>
      </c>
      <c r="P100" s="20" t="s">
        <v>547</v>
      </c>
      <c r="Q100" s="20"/>
      <c r="R100" s="20"/>
      <c r="S100" s="19" t="s">
        <v>548</v>
      </c>
    </row>
    <row r="101" spans="1:19" s="15" customFormat="1" ht="201.6" hidden="1" x14ac:dyDescent="0.3">
      <c r="A101" s="19">
        <v>93</v>
      </c>
      <c r="B101" s="19" t="s">
        <v>789</v>
      </c>
      <c r="C101" s="19"/>
      <c r="D101" s="19"/>
      <c r="E101" s="19" t="s">
        <v>405</v>
      </c>
      <c r="F101" s="19" t="s">
        <v>551</v>
      </c>
      <c r="G101" s="19" t="s">
        <v>552</v>
      </c>
      <c r="H101" s="19" t="s">
        <v>864</v>
      </c>
      <c r="I101" s="19" t="s">
        <v>864</v>
      </c>
      <c r="J101" s="19" t="s">
        <v>864</v>
      </c>
      <c r="K101" s="19"/>
      <c r="L101" s="19"/>
      <c r="M101" s="19" t="s">
        <v>368</v>
      </c>
      <c r="N101" s="19" t="str">
        <f>INDEX(PNGs!$J:J,MATCH($M101,PNGs!B:B,0))</f>
        <v>https://ghoapi.azureedge.net/api/ors</v>
      </c>
      <c r="O101" s="22" t="s">
        <v>684</v>
      </c>
      <c r="P101" s="20" t="s">
        <v>547</v>
      </c>
      <c r="Q101" s="20"/>
      <c r="R101" s="20"/>
      <c r="S101" s="19" t="s">
        <v>548</v>
      </c>
    </row>
    <row r="102" spans="1:19" s="15" customFormat="1" ht="201.6" hidden="1" x14ac:dyDescent="0.3">
      <c r="A102" s="19">
        <v>94</v>
      </c>
      <c r="B102" s="19" t="s">
        <v>788</v>
      </c>
      <c r="C102" s="19"/>
      <c r="D102" s="19"/>
      <c r="E102" s="19" t="s">
        <v>405</v>
      </c>
      <c r="F102" s="19" t="s">
        <v>553</v>
      </c>
      <c r="G102" s="19" t="s">
        <v>554</v>
      </c>
      <c r="H102" s="19" t="s">
        <v>864</v>
      </c>
      <c r="I102" s="19" t="s">
        <v>864</v>
      </c>
      <c r="J102" s="19" t="s">
        <v>864</v>
      </c>
      <c r="K102" s="19"/>
      <c r="L102" s="19"/>
      <c r="M102" s="19" t="s">
        <v>369</v>
      </c>
      <c r="N102" s="19" t="str">
        <f>INDEX(PNGs!$J:J,MATCH($M102,PNGs!B:B,0))</f>
        <v>https://ghoapi.azureedge.net/api/ors</v>
      </c>
      <c r="O102" s="22" t="s">
        <v>684</v>
      </c>
      <c r="P102" s="20" t="s">
        <v>547</v>
      </c>
      <c r="Q102" s="20"/>
      <c r="R102" s="20"/>
      <c r="S102" s="19" t="s">
        <v>548</v>
      </c>
    </row>
    <row r="103" spans="1:19" s="15" customFormat="1" ht="216" hidden="1" x14ac:dyDescent="0.3">
      <c r="A103" s="19">
        <v>95</v>
      </c>
      <c r="B103" s="19" t="s">
        <v>793</v>
      </c>
      <c r="C103" s="19"/>
      <c r="D103" s="19"/>
      <c r="E103" s="19" t="s">
        <v>405</v>
      </c>
      <c r="F103" s="19" t="s">
        <v>555</v>
      </c>
      <c r="G103" s="19" t="s">
        <v>556</v>
      </c>
      <c r="H103" s="19" t="s">
        <v>864</v>
      </c>
      <c r="I103" s="19" t="s">
        <v>864</v>
      </c>
      <c r="J103" s="19" t="s">
        <v>864</v>
      </c>
      <c r="K103" s="19"/>
      <c r="L103" s="19"/>
      <c r="M103" s="34" t="s">
        <v>370</v>
      </c>
      <c r="N103" s="19" t="str">
        <f>INDEX(PNGs!$J:J,MATCH($M103,PNGs!B:B,0))</f>
        <v>https://ghoapi.azureedge.net/api/carep</v>
      </c>
      <c r="O103" s="22" t="s">
        <v>684</v>
      </c>
      <c r="P103" s="20" t="s">
        <v>547</v>
      </c>
      <c r="Q103" s="20"/>
      <c r="R103" s="20"/>
      <c r="S103" s="19" t="s">
        <v>548</v>
      </c>
    </row>
    <row r="104" spans="1:19" s="15" customFormat="1" ht="216" hidden="1" x14ac:dyDescent="0.3">
      <c r="A104" s="19">
        <v>96</v>
      </c>
      <c r="B104" s="19" t="s">
        <v>790</v>
      </c>
      <c r="C104" s="19"/>
      <c r="D104" s="19"/>
      <c r="E104" s="19" t="s">
        <v>405</v>
      </c>
      <c r="F104" s="19" t="s">
        <v>557</v>
      </c>
      <c r="G104" s="19" t="s">
        <v>558</v>
      </c>
      <c r="H104" s="19" t="s">
        <v>864</v>
      </c>
      <c r="I104" s="19" t="s">
        <v>864</v>
      </c>
      <c r="J104" s="19" t="s">
        <v>864</v>
      </c>
      <c r="K104" s="19"/>
      <c r="L104" s="19"/>
      <c r="M104" s="19" t="s">
        <v>371</v>
      </c>
      <c r="N104" s="19" t="str">
        <f>INDEX(PNGs!$J:J,MATCH($M104,PNGs!B:B,0))</f>
        <v>https://ghoapi.azureedge.net/api/carep</v>
      </c>
      <c r="O104" s="22" t="s">
        <v>684</v>
      </c>
      <c r="P104" s="20" t="s">
        <v>547</v>
      </c>
      <c r="Q104" s="20"/>
      <c r="R104" s="20"/>
      <c r="S104" s="19" t="s">
        <v>548</v>
      </c>
    </row>
    <row r="105" spans="1:19" s="15" customFormat="1" ht="216" hidden="1" x14ac:dyDescent="0.3">
      <c r="A105" s="19">
        <v>97</v>
      </c>
      <c r="B105" s="19" t="s">
        <v>791</v>
      </c>
      <c r="C105" s="19"/>
      <c r="D105" s="19"/>
      <c r="E105" s="19" t="s">
        <v>405</v>
      </c>
      <c r="F105" s="19" t="s">
        <v>559</v>
      </c>
      <c r="G105" s="19" t="s">
        <v>558</v>
      </c>
      <c r="H105" s="19" t="s">
        <v>864</v>
      </c>
      <c r="I105" s="19" t="s">
        <v>864</v>
      </c>
      <c r="J105" s="19" t="s">
        <v>864</v>
      </c>
      <c r="K105" s="19"/>
      <c r="L105" s="19"/>
      <c r="M105" s="19" t="s">
        <v>372</v>
      </c>
      <c r="N105" s="19" t="str">
        <f>INDEX(PNGs!$J:J,MATCH($M105,PNGs!B:B,0))</f>
        <v>https://ghoapi.azureedge.net/api/carep</v>
      </c>
      <c r="O105" s="22" t="s">
        <v>684</v>
      </c>
      <c r="P105" s="20" t="s">
        <v>547</v>
      </c>
      <c r="Q105" s="20"/>
      <c r="R105" s="20"/>
      <c r="S105" s="19" t="s">
        <v>548</v>
      </c>
    </row>
    <row r="106" spans="1:19" s="15" customFormat="1" ht="216" hidden="1" x14ac:dyDescent="0.3">
      <c r="A106" s="19">
        <v>98</v>
      </c>
      <c r="B106" s="19" t="s">
        <v>792</v>
      </c>
      <c r="C106" s="19"/>
      <c r="D106" s="19"/>
      <c r="E106" s="19" t="s">
        <v>405</v>
      </c>
      <c r="F106" s="19" t="s">
        <v>560</v>
      </c>
      <c r="G106" s="19" t="s">
        <v>561</v>
      </c>
      <c r="H106" s="19" t="s">
        <v>864</v>
      </c>
      <c r="I106" s="19" t="s">
        <v>864</v>
      </c>
      <c r="J106" s="19" t="s">
        <v>864</v>
      </c>
      <c r="K106" s="19"/>
      <c r="L106" s="19"/>
      <c r="M106" s="19" t="s">
        <v>373</v>
      </c>
      <c r="N106" s="19" t="str">
        <f>INDEX(PNGs!$J:J,MATCH($M106,PNGs!B:B,0))</f>
        <v>https://ghoapi.azureedge.net/api/carep</v>
      </c>
      <c r="O106" s="22" t="s">
        <v>684</v>
      </c>
      <c r="P106" s="20" t="s">
        <v>547</v>
      </c>
      <c r="Q106" s="20"/>
      <c r="R106" s="20"/>
      <c r="S106" s="19" t="s">
        <v>548</v>
      </c>
    </row>
    <row r="107" spans="1:19" s="15" customFormat="1" hidden="1" x14ac:dyDescent="0.3">
      <c r="A107" s="19">
        <v>99</v>
      </c>
      <c r="B107" s="19" t="s">
        <v>800</v>
      </c>
      <c r="C107" s="19" t="s">
        <v>867</v>
      </c>
      <c r="D107" s="19"/>
      <c r="E107" s="19" t="s">
        <v>406</v>
      </c>
      <c r="F107" s="19" t="s">
        <v>406</v>
      </c>
      <c r="G107" s="19" t="s">
        <v>410</v>
      </c>
      <c r="H107" s="19" t="s">
        <v>864</v>
      </c>
      <c r="I107" s="19" t="s">
        <v>864</v>
      </c>
      <c r="J107" s="19" t="s">
        <v>864</v>
      </c>
      <c r="K107" s="19"/>
      <c r="L107" s="19" t="s">
        <v>864</v>
      </c>
      <c r="M107" s="19" t="s">
        <v>864</v>
      </c>
      <c r="N107" s="19" t="e">
        <f>INDEX(PNGs!$J:J,MATCH($M107,PNGs!B:B,0))</f>
        <v>#N/A</v>
      </c>
      <c r="O107" s="22" t="s">
        <v>864</v>
      </c>
      <c r="P107" s="20" t="s">
        <v>864</v>
      </c>
      <c r="Q107" s="20" t="s">
        <v>864</v>
      </c>
      <c r="R107" s="20" t="s">
        <v>864</v>
      </c>
      <c r="S107" s="19"/>
    </row>
    <row r="108" spans="1:19" s="15" customFormat="1" ht="28.8" hidden="1" x14ac:dyDescent="0.3">
      <c r="A108" s="19">
        <v>100</v>
      </c>
      <c r="B108" s="19" t="s">
        <v>794</v>
      </c>
      <c r="C108" s="19" t="s">
        <v>691</v>
      </c>
      <c r="D108" s="19"/>
      <c r="E108" s="19" t="s">
        <v>406</v>
      </c>
      <c r="F108" s="19" t="s">
        <v>562</v>
      </c>
      <c r="G108" s="19" t="s">
        <v>563</v>
      </c>
      <c r="H108" s="19" t="s">
        <v>864</v>
      </c>
      <c r="I108" s="19" t="b">
        <v>1</v>
      </c>
      <c r="J108" s="19" t="s">
        <v>864</v>
      </c>
      <c r="K108" s="19"/>
      <c r="L108" s="19" t="b">
        <v>0</v>
      </c>
      <c r="M108" s="19" t="s">
        <v>345</v>
      </c>
      <c r="N108" s="19" t="str">
        <f>INDEX(PNGs!$J:J,MATCH($M108,PNGs!B:B,0))</f>
        <v>adol-mort-region.xlsx</v>
      </c>
      <c r="O108" s="22" t="s">
        <v>564</v>
      </c>
      <c r="P108" s="20" t="s">
        <v>479</v>
      </c>
      <c r="Q108" s="20"/>
      <c r="R108" s="20"/>
      <c r="S108" s="19"/>
    </row>
    <row r="109" spans="1:19" s="15" customFormat="1" ht="28.8" hidden="1" x14ac:dyDescent="0.3">
      <c r="A109" s="19">
        <v>101</v>
      </c>
      <c r="B109" s="19" t="s">
        <v>795</v>
      </c>
      <c r="C109" s="19" t="s">
        <v>691</v>
      </c>
      <c r="D109" s="19"/>
      <c r="E109" s="19" t="s">
        <v>406</v>
      </c>
      <c r="F109" s="19" t="s">
        <v>565</v>
      </c>
      <c r="G109" s="19" t="s">
        <v>566</v>
      </c>
      <c r="H109" s="19" t="s">
        <v>864</v>
      </c>
      <c r="I109" s="19" t="b">
        <v>1</v>
      </c>
      <c r="J109" s="19" t="s">
        <v>864</v>
      </c>
      <c r="K109" s="19"/>
      <c r="L109" s="19" t="b">
        <v>0</v>
      </c>
      <c r="M109" s="19" t="s">
        <v>346</v>
      </c>
      <c r="N109" s="19" t="str">
        <f>INDEX(PNGs!$J:J,MATCH($M109,PNGs!B:B,0))</f>
        <v>adol-cod-region.xlsx</v>
      </c>
      <c r="O109" s="22" t="s">
        <v>564</v>
      </c>
      <c r="P109" s="20" t="s">
        <v>479</v>
      </c>
      <c r="Q109" s="20"/>
      <c r="R109" s="20"/>
      <c r="S109" s="19"/>
    </row>
    <row r="110" spans="1:19" s="15" customFormat="1" ht="28.8" hidden="1" x14ac:dyDescent="0.3">
      <c r="A110" s="19">
        <v>102</v>
      </c>
      <c r="B110" s="19" t="s">
        <v>796</v>
      </c>
      <c r="C110" s="19" t="s">
        <v>691</v>
      </c>
      <c r="D110" s="19"/>
      <c r="E110" s="19" t="s">
        <v>406</v>
      </c>
      <c r="F110" s="19" t="s">
        <v>567</v>
      </c>
      <c r="G110" s="19" t="s">
        <v>568</v>
      </c>
      <c r="H110" s="19" t="s">
        <v>864</v>
      </c>
      <c r="I110" s="19" t="b">
        <v>1</v>
      </c>
      <c r="J110" s="19" t="s">
        <v>864</v>
      </c>
      <c r="K110" s="19"/>
      <c r="L110" s="19" t="b">
        <v>0</v>
      </c>
      <c r="M110" s="19" t="s">
        <v>347</v>
      </c>
      <c r="N110" s="19" t="str">
        <f>INDEX(PNGs!$J:J,MATCH($M110,PNGs!B:B,0))</f>
        <v>adol-cod-region.xlsx</v>
      </c>
      <c r="O110" s="22" t="s">
        <v>564</v>
      </c>
      <c r="P110" s="20" t="s">
        <v>479</v>
      </c>
      <c r="Q110" s="20"/>
      <c r="R110" s="20"/>
      <c r="S110" s="19"/>
    </row>
    <row r="111" spans="1:19" s="15" customFormat="1" ht="28.8" hidden="1" x14ac:dyDescent="0.3">
      <c r="A111" s="19">
        <v>103</v>
      </c>
      <c r="B111" s="19" t="s">
        <v>797</v>
      </c>
      <c r="C111" s="19" t="s">
        <v>691</v>
      </c>
      <c r="D111" s="19"/>
      <c r="E111" s="19" t="s">
        <v>406</v>
      </c>
      <c r="F111" s="19" t="s">
        <v>567</v>
      </c>
      <c r="G111" s="19" t="s">
        <v>569</v>
      </c>
      <c r="H111" s="19" t="s">
        <v>864</v>
      </c>
      <c r="I111" s="19" t="b">
        <v>1</v>
      </c>
      <c r="J111" s="19" t="s">
        <v>864</v>
      </c>
      <c r="K111" s="19"/>
      <c r="L111" s="19" t="b">
        <v>0</v>
      </c>
      <c r="M111" s="19" t="s">
        <v>348</v>
      </c>
      <c r="N111" s="19" t="str">
        <f>INDEX(PNGs!$J:J,MATCH($M111,PNGs!B:B,0))</f>
        <v>adol-cod-region.xlsx</v>
      </c>
      <c r="O111" s="22" t="s">
        <v>564</v>
      </c>
      <c r="P111" s="20" t="s">
        <v>479</v>
      </c>
      <c r="Q111" s="20"/>
      <c r="R111" s="20"/>
      <c r="S111" s="19"/>
    </row>
    <row r="112" spans="1:19" s="15" customFormat="1" ht="28.8" hidden="1" x14ac:dyDescent="0.3">
      <c r="A112" s="19">
        <v>104</v>
      </c>
      <c r="B112" s="19" t="s">
        <v>798</v>
      </c>
      <c r="C112" s="19" t="s">
        <v>691</v>
      </c>
      <c r="D112" s="19"/>
      <c r="E112" s="19" t="s">
        <v>406</v>
      </c>
      <c r="F112" s="19" t="s">
        <v>567</v>
      </c>
      <c r="G112" s="19" t="s">
        <v>570</v>
      </c>
      <c r="H112" s="19" t="s">
        <v>864</v>
      </c>
      <c r="I112" s="19" t="b">
        <v>1</v>
      </c>
      <c r="J112" s="19" t="s">
        <v>864</v>
      </c>
      <c r="K112" s="19"/>
      <c r="L112" s="19" t="b">
        <v>0</v>
      </c>
      <c r="M112" s="19" t="s">
        <v>349</v>
      </c>
      <c r="N112" s="19" t="str">
        <f>INDEX(PNGs!$J:J,MATCH($M112,PNGs!B:B,0))</f>
        <v>adol-cod-region.xlsx</v>
      </c>
      <c r="O112" s="22" t="s">
        <v>564</v>
      </c>
      <c r="P112" s="20" t="s">
        <v>479</v>
      </c>
      <c r="Q112" s="20"/>
      <c r="R112" s="20"/>
      <c r="S112" s="19"/>
    </row>
    <row r="113" spans="1:19" s="15" customFormat="1" ht="28.8" hidden="1" x14ac:dyDescent="0.3">
      <c r="A113" s="19">
        <v>105</v>
      </c>
      <c r="B113" s="19" t="s">
        <v>799</v>
      </c>
      <c r="C113" s="19" t="s">
        <v>691</v>
      </c>
      <c r="D113" s="19"/>
      <c r="E113" s="19" t="s">
        <v>406</v>
      </c>
      <c r="F113" s="19" t="s">
        <v>567</v>
      </c>
      <c r="G113" s="19" t="s">
        <v>571</v>
      </c>
      <c r="H113" s="19" t="s">
        <v>864</v>
      </c>
      <c r="I113" s="19" t="b">
        <v>1</v>
      </c>
      <c r="J113" s="19" t="s">
        <v>864</v>
      </c>
      <c r="K113" s="19"/>
      <c r="L113" s="19" t="b">
        <v>0</v>
      </c>
      <c r="M113" s="19" t="s">
        <v>350</v>
      </c>
      <c r="N113" s="19" t="str">
        <f>INDEX(PNGs!$J:J,MATCH($M113,PNGs!B:B,0))</f>
        <v>adol-cod-region.xlsx</v>
      </c>
      <c r="O113" s="22" t="s">
        <v>564</v>
      </c>
      <c r="P113" s="20" t="s">
        <v>479</v>
      </c>
      <c r="Q113" s="20"/>
      <c r="R113" s="20"/>
      <c r="S113" s="19"/>
    </row>
    <row r="114" spans="1:19" s="15" customFormat="1" hidden="1" x14ac:dyDescent="0.3">
      <c r="A114" s="19">
        <v>106</v>
      </c>
      <c r="B114" s="19" t="s">
        <v>801</v>
      </c>
      <c r="C114" s="19" t="s">
        <v>867</v>
      </c>
      <c r="D114" s="19"/>
      <c r="E114" s="19" t="s">
        <v>639</v>
      </c>
      <c r="F114" s="19" t="s">
        <v>639</v>
      </c>
      <c r="G114" s="19" t="s">
        <v>410</v>
      </c>
      <c r="H114" s="19" t="s">
        <v>864</v>
      </c>
      <c r="I114" s="19" t="s">
        <v>864</v>
      </c>
      <c r="J114" s="19" t="s">
        <v>864</v>
      </c>
      <c r="K114" s="19"/>
      <c r="L114" s="19" t="s">
        <v>864</v>
      </c>
      <c r="M114" s="19" t="s">
        <v>864</v>
      </c>
      <c r="N114" s="19" t="e">
        <f>INDEX(PNGs!$J:J,MATCH($M114,PNGs!B:B,0))</f>
        <v>#N/A</v>
      </c>
      <c r="O114" s="22" t="s">
        <v>864</v>
      </c>
      <c r="P114" s="20" t="s">
        <v>864</v>
      </c>
      <c r="Q114" s="20" t="s">
        <v>864</v>
      </c>
      <c r="R114" s="20" t="s">
        <v>864</v>
      </c>
      <c r="S114" s="19"/>
    </row>
    <row r="115" spans="1:19" s="15" customFormat="1" ht="28.8" hidden="1" x14ac:dyDescent="0.3">
      <c r="A115" s="19">
        <v>107</v>
      </c>
      <c r="B115" s="19" t="s">
        <v>802</v>
      </c>
      <c r="C115" s="19" t="s">
        <v>691</v>
      </c>
      <c r="D115" s="19"/>
      <c r="E115" s="19" t="s">
        <v>639</v>
      </c>
      <c r="F115" s="19" t="s">
        <v>562</v>
      </c>
      <c r="G115" s="19" t="s">
        <v>572</v>
      </c>
      <c r="H115" s="19" t="s">
        <v>864</v>
      </c>
      <c r="I115" s="19" t="b">
        <v>1</v>
      </c>
      <c r="J115" s="19" t="s">
        <v>864</v>
      </c>
      <c r="K115" s="19"/>
      <c r="L115" s="19" t="b">
        <v>0</v>
      </c>
      <c r="M115" s="19" t="s">
        <v>164</v>
      </c>
      <c r="N115" s="19" t="str">
        <f>INDEX(PNGs!$J:J,MATCH($M115,PNGs!B:B,0))</f>
        <v>adol-mort-region.xlsx</v>
      </c>
      <c r="O115" s="22" t="s">
        <v>564</v>
      </c>
      <c r="P115" s="20" t="s">
        <v>479</v>
      </c>
      <c r="Q115" s="20"/>
      <c r="R115" s="20"/>
      <c r="S115" s="19"/>
    </row>
    <row r="116" spans="1:19" s="15" customFormat="1" ht="28.8" hidden="1" x14ac:dyDescent="0.3">
      <c r="A116" s="19">
        <v>108</v>
      </c>
      <c r="B116" s="19" t="s">
        <v>807</v>
      </c>
      <c r="C116" s="19" t="s">
        <v>691</v>
      </c>
      <c r="D116" s="19"/>
      <c r="E116" s="19" t="s">
        <v>639</v>
      </c>
      <c r="F116" s="19" t="s">
        <v>565</v>
      </c>
      <c r="G116" s="19" t="s">
        <v>573</v>
      </c>
      <c r="H116" s="19" t="s">
        <v>864</v>
      </c>
      <c r="I116" s="19" t="b">
        <v>1</v>
      </c>
      <c r="J116" s="19" t="s">
        <v>864</v>
      </c>
      <c r="K116" s="19"/>
      <c r="L116" s="19" t="b">
        <v>0</v>
      </c>
      <c r="M116" s="19" t="s">
        <v>165</v>
      </c>
      <c r="N116" s="19" t="str">
        <f>INDEX(PNGs!$J:J,MATCH($M116,PNGs!B:B,0))</f>
        <v>adol-cod-region.xlsx</v>
      </c>
      <c r="O116" s="22" t="s">
        <v>564</v>
      </c>
      <c r="P116" s="20" t="s">
        <v>479</v>
      </c>
      <c r="Q116" s="20"/>
      <c r="R116" s="20"/>
      <c r="S116" s="19"/>
    </row>
    <row r="117" spans="1:19" s="15" customFormat="1" ht="28.8" hidden="1" x14ac:dyDescent="0.3">
      <c r="A117" s="19">
        <v>109</v>
      </c>
      <c r="B117" s="19" t="s">
        <v>808</v>
      </c>
      <c r="C117" s="19" t="s">
        <v>691</v>
      </c>
      <c r="D117" s="19"/>
      <c r="E117" s="19" t="s">
        <v>639</v>
      </c>
      <c r="F117" s="19" t="s">
        <v>565</v>
      </c>
      <c r="G117" s="19" t="s">
        <v>574</v>
      </c>
      <c r="H117" s="19" t="s">
        <v>864</v>
      </c>
      <c r="I117" s="19" t="b">
        <v>1</v>
      </c>
      <c r="J117" s="19" t="s">
        <v>864</v>
      </c>
      <c r="K117" s="19"/>
      <c r="L117" s="19" t="b">
        <v>0</v>
      </c>
      <c r="M117" s="19" t="s">
        <v>334</v>
      </c>
      <c r="N117" s="19" t="str">
        <f>INDEX(PNGs!$J:J,MATCH($M117,PNGs!B:B,0))</f>
        <v>adol-cod-region.xlsx</v>
      </c>
      <c r="O117" s="22" t="s">
        <v>564</v>
      </c>
      <c r="P117" s="20" t="s">
        <v>479</v>
      </c>
      <c r="Q117" s="20"/>
      <c r="R117" s="20"/>
      <c r="S117" s="19"/>
    </row>
    <row r="118" spans="1:19" s="15" customFormat="1" ht="28.8" hidden="1" x14ac:dyDescent="0.3">
      <c r="A118" s="19">
        <v>110</v>
      </c>
      <c r="B118" s="19" t="s">
        <v>803</v>
      </c>
      <c r="C118" s="19" t="s">
        <v>691</v>
      </c>
      <c r="D118" s="19"/>
      <c r="E118" s="19" t="s">
        <v>639</v>
      </c>
      <c r="F118" s="19" t="s">
        <v>567</v>
      </c>
      <c r="G118" s="19" t="s">
        <v>575</v>
      </c>
      <c r="H118" s="19" t="s">
        <v>864</v>
      </c>
      <c r="I118" s="19" t="b">
        <v>1</v>
      </c>
      <c r="J118" s="19" t="s">
        <v>864</v>
      </c>
      <c r="K118" s="19"/>
      <c r="L118" s="19" t="b">
        <v>0</v>
      </c>
      <c r="M118" s="19" t="s">
        <v>335</v>
      </c>
      <c r="N118" s="19" t="str">
        <f>INDEX(PNGs!$J:J,MATCH($M118,PNGs!B:B,0))</f>
        <v>adol-cod-region.xlsx</v>
      </c>
      <c r="O118" s="22" t="s">
        <v>564</v>
      </c>
      <c r="P118" s="20" t="s">
        <v>479</v>
      </c>
      <c r="Q118" s="20"/>
      <c r="R118" s="20"/>
      <c r="S118" s="19"/>
    </row>
    <row r="119" spans="1:19" s="15" customFormat="1" ht="28.8" hidden="1" x14ac:dyDescent="0.3">
      <c r="A119" s="19">
        <v>111</v>
      </c>
      <c r="B119" s="19" t="s">
        <v>804</v>
      </c>
      <c r="C119" s="19" t="s">
        <v>691</v>
      </c>
      <c r="D119" s="19"/>
      <c r="E119" s="19" t="s">
        <v>639</v>
      </c>
      <c r="F119" s="19" t="s">
        <v>567</v>
      </c>
      <c r="G119" s="19" t="s">
        <v>576</v>
      </c>
      <c r="H119" s="19" t="s">
        <v>864</v>
      </c>
      <c r="I119" s="19" t="b">
        <v>1</v>
      </c>
      <c r="J119" s="19" t="s">
        <v>864</v>
      </c>
      <c r="K119" s="19"/>
      <c r="L119" s="19" t="b">
        <v>0</v>
      </c>
      <c r="M119" s="19" t="s">
        <v>336</v>
      </c>
      <c r="N119" s="19" t="str">
        <f>INDEX(PNGs!$J:J,MATCH($M119,PNGs!B:B,0))</f>
        <v>adol-cod-region.xlsx</v>
      </c>
      <c r="O119" s="22" t="s">
        <v>564</v>
      </c>
      <c r="P119" s="20" t="s">
        <v>479</v>
      </c>
      <c r="Q119" s="20"/>
      <c r="R119" s="20"/>
      <c r="S119" s="19"/>
    </row>
    <row r="120" spans="1:19" s="15" customFormat="1" ht="28.8" hidden="1" x14ac:dyDescent="0.3">
      <c r="A120" s="19">
        <v>112</v>
      </c>
      <c r="B120" s="19" t="s">
        <v>805</v>
      </c>
      <c r="C120" s="19" t="s">
        <v>691</v>
      </c>
      <c r="D120" s="19"/>
      <c r="E120" s="19" t="s">
        <v>639</v>
      </c>
      <c r="F120" s="19" t="s">
        <v>567</v>
      </c>
      <c r="G120" s="19" t="s">
        <v>577</v>
      </c>
      <c r="H120" s="19" t="s">
        <v>864</v>
      </c>
      <c r="I120" s="19" t="b">
        <v>1</v>
      </c>
      <c r="J120" s="19" t="s">
        <v>864</v>
      </c>
      <c r="K120" s="19"/>
      <c r="L120" s="19" t="b">
        <v>0</v>
      </c>
      <c r="M120" s="19" t="s">
        <v>337</v>
      </c>
      <c r="N120" s="19" t="str">
        <f>INDEX(PNGs!$J:J,MATCH($M120,PNGs!B:B,0))</f>
        <v>adol-cod-region.xlsx</v>
      </c>
      <c r="O120" s="22" t="s">
        <v>564</v>
      </c>
      <c r="P120" s="20" t="s">
        <v>479</v>
      </c>
      <c r="Q120" s="20"/>
      <c r="R120" s="20"/>
      <c r="S120" s="19"/>
    </row>
    <row r="121" spans="1:19" s="15" customFormat="1" ht="28.8" hidden="1" x14ac:dyDescent="0.3">
      <c r="A121" s="19">
        <v>113</v>
      </c>
      <c r="B121" s="19" t="s">
        <v>806</v>
      </c>
      <c r="C121" s="19" t="s">
        <v>691</v>
      </c>
      <c r="D121" s="19"/>
      <c r="E121" s="19" t="s">
        <v>639</v>
      </c>
      <c r="F121" s="19" t="s">
        <v>567</v>
      </c>
      <c r="G121" s="19" t="s">
        <v>578</v>
      </c>
      <c r="H121" s="19" t="s">
        <v>864</v>
      </c>
      <c r="I121" s="19" t="b">
        <v>1</v>
      </c>
      <c r="J121" s="19" t="s">
        <v>864</v>
      </c>
      <c r="K121" s="19"/>
      <c r="L121" s="19" t="b">
        <v>0</v>
      </c>
      <c r="M121" s="19" t="s">
        <v>338</v>
      </c>
      <c r="N121" s="19" t="str">
        <f>INDEX(PNGs!$J:J,MATCH($M121,PNGs!B:B,0))</f>
        <v>adol-cod-region.xlsx</v>
      </c>
      <c r="O121" s="22" t="s">
        <v>564</v>
      </c>
      <c r="P121" s="20" t="s">
        <v>479</v>
      </c>
      <c r="Q121" s="20"/>
      <c r="R121" s="20"/>
      <c r="S121" s="19"/>
    </row>
    <row r="122" spans="1:19" s="15" customFormat="1" hidden="1" x14ac:dyDescent="0.3">
      <c r="A122" s="19">
        <v>114</v>
      </c>
      <c r="B122" s="19" t="s">
        <v>809</v>
      </c>
      <c r="C122" s="19" t="s">
        <v>867</v>
      </c>
      <c r="D122" s="19"/>
      <c r="E122" s="19" t="s">
        <v>640</v>
      </c>
      <c r="F122" s="19" t="s">
        <v>640</v>
      </c>
      <c r="G122" s="19" t="s">
        <v>410</v>
      </c>
      <c r="H122" s="19" t="s">
        <v>864</v>
      </c>
      <c r="I122" s="19" t="s">
        <v>864</v>
      </c>
      <c r="J122" s="19" t="s">
        <v>864</v>
      </c>
      <c r="K122" s="19"/>
      <c r="L122" s="19" t="s">
        <v>864</v>
      </c>
      <c r="M122" s="19" t="s">
        <v>864</v>
      </c>
      <c r="N122" s="19" t="e">
        <f>INDEX(PNGs!$J:J,MATCH($M122,PNGs!B:B,0))</f>
        <v>#N/A</v>
      </c>
      <c r="O122" s="22" t="s">
        <v>864</v>
      </c>
      <c r="P122" s="20" t="s">
        <v>864</v>
      </c>
      <c r="Q122" s="20" t="s">
        <v>864</v>
      </c>
      <c r="R122" s="20" t="s">
        <v>864</v>
      </c>
      <c r="S122" s="19"/>
    </row>
    <row r="123" spans="1:19" s="15" customFormat="1" ht="28.8" hidden="1" x14ac:dyDescent="0.3">
      <c r="A123" s="19">
        <v>115</v>
      </c>
      <c r="B123" s="19" t="s">
        <v>810</v>
      </c>
      <c r="C123" s="19" t="s">
        <v>691</v>
      </c>
      <c r="D123" s="19"/>
      <c r="E123" s="19" t="s">
        <v>640</v>
      </c>
      <c r="F123" s="19" t="s">
        <v>562</v>
      </c>
      <c r="G123" s="19" t="s">
        <v>579</v>
      </c>
      <c r="H123" s="19" t="s">
        <v>864</v>
      </c>
      <c r="I123" s="19" t="b">
        <v>1</v>
      </c>
      <c r="J123" s="19" t="s">
        <v>864</v>
      </c>
      <c r="K123" s="19"/>
      <c r="L123" s="19" t="b">
        <v>0</v>
      </c>
      <c r="M123" s="19" t="s">
        <v>166</v>
      </c>
      <c r="N123" s="19" t="str">
        <f>INDEX(PNGs!$J:J,MATCH($M123,PNGs!B:B,0))</f>
        <v>adol-mort-income.xlsx</v>
      </c>
      <c r="O123" s="22" t="s">
        <v>564</v>
      </c>
      <c r="P123" s="20" t="s">
        <v>479</v>
      </c>
      <c r="Q123" s="20"/>
      <c r="R123" s="20"/>
      <c r="S123" s="19"/>
    </row>
    <row r="124" spans="1:19" s="15" customFormat="1" ht="28.8" hidden="1" x14ac:dyDescent="0.3">
      <c r="A124" s="21">
        <v>116</v>
      </c>
      <c r="B124" s="19" t="s">
        <v>811</v>
      </c>
      <c r="C124" s="19" t="s">
        <v>691</v>
      </c>
      <c r="D124" s="19"/>
      <c r="E124" s="19" t="s">
        <v>640</v>
      </c>
      <c r="F124" s="21" t="s">
        <v>565</v>
      </c>
      <c r="G124" s="21" t="s">
        <v>580</v>
      </c>
      <c r="H124" s="21" t="s">
        <v>864</v>
      </c>
      <c r="I124" s="21" t="b">
        <v>1</v>
      </c>
      <c r="J124" s="21" t="s">
        <v>864</v>
      </c>
      <c r="K124" s="21"/>
      <c r="L124" s="19" t="b">
        <v>0</v>
      </c>
      <c r="M124" s="21" t="s">
        <v>339</v>
      </c>
      <c r="N124" s="21" t="str">
        <f>INDEX(PNGs!$J:J,MATCH($M124,PNGs!B:B,0))</f>
        <v>adol-cod-income.xlsx</v>
      </c>
      <c r="O124" s="22" t="s">
        <v>564</v>
      </c>
      <c r="P124" s="26" t="s">
        <v>479</v>
      </c>
      <c r="Q124" s="26"/>
      <c r="R124" s="26"/>
      <c r="S124" s="21"/>
    </row>
    <row r="125" spans="1:19" s="15" customFormat="1" ht="28.8" hidden="1" x14ac:dyDescent="0.3">
      <c r="A125" s="21">
        <v>117</v>
      </c>
      <c r="B125" s="19" t="s">
        <v>812</v>
      </c>
      <c r="C125" s="19" t="s">
        <v>691</v>
      </c>
      <c r="D125" s="19"/>
      <c r="E125" s="19" t="s">
        <v>640</v>
      </c>
      <c r="F125" s="21" t="s">
        <v>565</v>
      </c>
      <c r="G125" s="21" t="s">
        <v>581</v>
      </c>
      <c r="H125" s="21" t="s">
        <v>864</v>
      </c>
      <c r="I125" s="21" t="b">
        <v>1</v>
      </c>
      <c r="J125" s="21" t="s">
        <v>864</v>
      </c>
      <c r="K125" s="21"/>
      <c r="L125" s="19" t="b">
        <v>0</v>
      </c>
      <c r="M125" s="21" t="s">
        <v>340</v>
      </c>
      <c r="N125" s="21" t="str">
        <f>INDEX(PNGs!$J:J,MATCH($M125,PNGs!B:B,0))</f>
        <v>adol-cod-income.xlsx</v>
      </c>
      <c r="O125" s="22" t="s">
        <v>564</v>
      </c>
      <c r="P125" s="26" t="s">
        <v>479</v>
      </c>
      <c r="Q125" s="26"/>
      <c r="R125" s="26"/>
      <c r="S125" s="21"/>
    </row>
    <row r="126" spans="1:19" s="15" customFormat="1" ht="28.8" hidden="1" x14ac:dyDescent="0.3">
      <c r="A126" s="19">
        <v>118</v>
      </c>
      <c r="B126" s="19" t="s">
        <v>813</v>
      </c>
      <c r="C126" s="19" t="s">
        <v>691</v>
      </c>
      <c r="D126" s="19"/>
      <c r="E126" s="19" t="s">
        <v>640</v>
      </c>
      <c r="F126" s="19" t="s">
        <v>567</v>
      </c>
      <c r="G126" s="19" t="s">
        <v>582</v>
      </c>
      <c r="H126" s="19" t="s">
        <v>864</v>
      </c>
      <c r="I126" s="19" t="b">
        <v>1</v>
      </c>
      <c r="J126" s="19" t="s">
        <v>864</v>
      </c>
      <c r="K126" s="19"/>
      <c r="L126" s="19" t="b">
        <v>0</v>
      </c>
      <c r="M126" s="19" t="s">
        <v>341</v>
      </c>
      <c r="N126" s="19" t="str">
        <f>INDEX(PNGs!$J:J,MATCH($M126,PNGs!B:B,0))</f>
        <v>adol-cod-income.xlsx</v>
      </c>
      <c r="O126" s="22" t="s">
        <v>564</v>
      </c>
      <c r="P126" s="26" t="s">
        <v>479</v>
      </c>
      <c r="Q126" s="26"/>
      <c r="R126" s="20"/>
      <c r="S126" s="19"/>
    </row>
    <row r="127" spans="1:19" s="15" customFormat="1" ht="28.8" hidden="1" x14ac:dyDescent="0.3">
      <c r="A127" s="19">
        <v>119</v>
      </c>
      <c r="B127" s="19" t="s">
        <v>814</v>
      </c>
      <c r="C127" s="19" t="s">
        <v>691</v>
      </c>
      <c r="D127" s="19"/>
      <c r="E127" s="19" t="s">
        <v>640</v>
      </c>
      <c r="F127" s="19" t="s">
        <v>567</v>
      </c>
      <c r="G127" s="19" t="s">
        <v>583</v>
      </c>
      <c r="H127" s="19" t="s">
        <v>864</v>
      </c>
      <c r="I127" s="19" t="b">
        <v>1</v>
      </c>
      <c r="J127" s="19" t="s">
        <v>864</v>
      </c>
      <c r="K127" s="19"/>
      <c r="L127" s="19" t="b">
        <v>0</v>
      </c>
      <c r="M127" s="19" t="s">
        <v>342</v>
      </c>
      <c r="N127" s="19" t="str">
        <f>INDEX(PNGs!$J:J,MATCH($M127,PNGs!B:B,0))</f>
        <v>adol-cod-income.xlsx</v>
      </c>
      <c r="O127" s="22" t="s">
        <v>564</v>
      </c>
      <c r="P127" s="26" t="s">
        <v>479</v>
      </c>
      <c r="Q127" s="26"/>
      <c r="R127" s="20"/>
      <c r="S127" s="19"/>
    </row>
    <row r="128" spans="1:19" s="15" customFormat="1" ht="28.8" hidden="1" x14ac:dyDescent="0.3">
      <c r="A128" s="19">
        <v>120</v>
      </c>
      <c r="B128" s="19" t="s">
        <v>815</v>
      </c>
      <c r="C128" s="19" t="s">
        <v>691</v>
      </c>
      <c r="D128" s="19"/>
      <c r="E128" s="19" t="s">
        <v>640</v>
      </c>
      <c r="F128" s="19" t="s">
        <v>567</v>
      </c>
      <c r="G128" s="19" t="s">
        <v>584</v>
      </c>
      <c r="H128" s="19" t="s">
        <v>864</v>
      </c>
      <c r="I128" s="19" t="b">
        <v>1</v>
      </c>
      <c r="J128" s="19" t="s">
        <v>864</v>
      </c>
      <c r="K128" s="19"/>
      <c r="L128" s="19" t="b">
        <v>0</v>
      </c>
      <c r="M128" s="19" t="s">
        <v>343</v>
      </c>
      <c r="N128" s="19" t="str">
        <f>INDEX(PNGs!$J:J,MATCH($M128,PNGs!B:B,0))</f>
        <v>adol-cod-income.xlsx</v>
      </c>
      <c r="O128" s="22" t="s">
        <v>564</v>
      </c>
      <c r="P128" s="26" t="s">
        <v>479</v>
      </c>
      <c r="Q128" s="26"/>
      <c r="R128" s="20"/>
      <c r="S128" s="19"/>
    </row>
    <row r="129" spans="1:19" s="15" customFormat="1" ht="28.8" hidden="1" x14ac:dyDescent="0.3">
      <c r="A129" s="19">
        <v>121</v>
      </c>
      <c r="B129" s="19" t="s">
        <v>816</v>
      </c>
      <c r="C129" s="19" t="s">
        <v>691</v>
      </c>
      <c r="D129" s="19"/>
      <c r="E129" s="19" t="s">
        <v>640</v>
      </c>
      <c r="F129" s="19" t="s">
        <v>567</v>
      </c>
      <c r="G129" s="19" t="s">
        <v>585</v>
      </c>
      <c r="H129" s="19" t="s">
        <v>864</v>
      </c>
      <c r="I129" s="19" t="b">
        <v>1</v>
      </c>
      <c r="J129" s="19" t="s">
        <v>864</v>
      </c>
      <c r="K129" s="19"/>
      <c r="L129" s="19" t="b">
        <v>0</v>
      </c>
      <c r="M129" s="19" t="s">
        <v>344</v>
      </c>
      <c r="N129" s="19" t="str">
        <f>INDEX(PNGs!$J:J,MATCH($M129,PNGs!B:B,0))</f>
        <v>adol-cod-income.xlsx</v>
      </c>
      <c r="O129" s="22" t="s">
        <v>564</v>
      </c>
      <c r="P129" s="26" t="s">
        <v>479</v>
      </c>
      <c r="Q129" s="26"/>
      <c r="R129" s="20"/>
      <c r="S129" s="19"/>
    </row>
    <row r="130" spans="1:19" s="15" customFormat="1" hidden="1" x14ac:dyDescent="0.3">
      <c r="A130" s="19">
        <v>122</v>
      </c>
      <c r="B130" s="19" t="s">
        <v>817</v>
      </c>
      <c r="C130" s="19" t="s">
        <v>867</v>
      </c>
      <c r="D130" s="19"/>
      <c r="E130" s="19" t="s">
        <v>407</v>
      </c>
      <c r="F130" s="19" t="s">
        <v>407</v>
      </c>
      <c r="G130" s="19" t="s">
        <v>410</v>
      </c>
      <c r="H130" s="19" t="s">
        <v>864</v>
      </c>
      <c r="I130" s="19" t="s">
        <v>864</v>
      </c>
      <c r="J130" s="19" t="s">
        <v>864</v>
      </c>
      <c r="K130" s="19"/>
      <c r="L130" s="19" t="s">
        <v>864</v>
      </c>
      <c r="M130" s="19" t="s">
        <v>864</v>
      </c>
      <c r="N130" s="19" t="e">
        <f>INDEX(PNGs!$J:J,MATCH($M130,PNGs!B:B,0))</f>
        <v>#N/A</v>
      </c>
      <c r="O130" s="22" t="s">
        <v>864</v>
      </c>
      <c r="P130" s="20" t="s">
        <v>864</v>
      </c>
      <c r="Q130" s="20" t="s">
        <v>864</v>
      </c>
      <c r="R130" s="20" t="s">
        <v>864</v>
      </c>
      <c r="S130" s="19"/>
    </row>
    <row r="131" spans="1:19" s="15" customFormat="1" ht="302.39999999999998" hidden="1" x14ac:dyDescent="0.3">
      <c r="A131" s="21">
        <v>123</v>
      </c>
      <c r="B131" s="21" t="s">
        <v>818</v>
      </c>
      <c r="C131" s="21" t="s">
        <v>867</v>
      </c>
      <c r="D131" s="21"/>
      <c r="E131" s="21" t="s">
        <v>407</v>
      </c>
      <c r="F131" s="21" t="s">
        <v>586</v>
      </c>
      <c r="G131" s="21" t="s">
        <v>411</v>
      </c>
      <c r="H131" s="21" t="s">
        <v>864</v>
      </c>
      <c r="I131" s="21" t="s">
        <v>864</v>
      </c>
      <c r="J131" s="21" t="s">
        <v>867</v>
      </c>
      <c r="K131" s="21"/>
      <c r="L131" s="19"/>
      <c r="M131" s="34" t="s">
        <v>292</v>
      </c>
      <c r="N131" s="19" t="str">
        <f>INDEX(PNGs!$J:J,MATCH($M131,PNGs!B:B,0))</f>
        <v xml:space="preserve">
https://xmart-api-public.who.int/MNCAH/MCA_FACT_DATA?$filter=INDICATOR_FK%20in%20(%22AGE_OVER60PCT%22,%22AGE_OVER80PCT%22,%22AGE_LE60%22,%22AGE_HALE60%22,%22AGE_MORT_TOP10%22,%22AGE_YLD%22,%22AGE_OBESITY%22,%22AGE_INSUFACT%22,%22AGE_RESIDE%22,%22AGE_LABOUR%22,%22AGE_RESIDELTA%22,%22AGE_FALL%22,%22AGE_BACKPAIN%22,%22AGE_AGEIST%22,%22AGE_ABUSE%22)&amp;$select=INDICATOR_FK,YEAR_FK,COUNTRY_FK,COUNTRY_FK__CODE,ValueString,ValueNumeric,ValueLow,ValueHigh,ValueStdDev,ValueStdErr,Comments,EffectiveDate,EndDate,Status,AGEGROUP_FK,AGEGROUP_FK__CODE,Answer_FK,CauseGHE_FK,CauseGHE_FK__CODE,CauseGHEChild_FK,CauseGHEChild_FK__CODE,CauseENVCAUSE_FK,CauseENVCAUSE_FK__CODE,DatasourceLong,DatasourceShort,ImpSan_FK,ImpWater_FK,LivingArrangements_FK,MEASDEF_FK,MOTHEREDUCATION_FK,ProficiencyLevel_FK,ResideLTA_FK,RESIDENCEAREA_FK,SABDefinition_FK,SEVERITY_FK,SEVERITYHEARING_FK,SEVERITYVISION_FK,SEX_FK,WEALTHQUINTILE_FK</v>
      </c>
      <c r="O131" s="22" t="s">
        <v>688</v>
      </c>
      <c r="P131" s="20" t="s">
        <v>587</v>
      </c>
      <c r="Q131" s="20"/>
      <c r="R131" s="20" t="s">
        <v>588</v>
      </c>
      <c r="S131" s="19" t="s">
        <v>589</v>
      </c>
    </row>
    <row r="132" spans="1:19" s="15" customFormat="1" ht="302.39999999999998" hidden="1" x14ac:dyDescent="0.3">
      <c r="A132" s="21">
        <v>124</v>
      </c>
      <c r="B132" s="21" t="s">
        <v>820</v>
      </c>
      <c r="C132" s="21" t="s">
        <v>867</v>
      </c>
      <c r="D132" s="21"/>
      <c r="E132" s="21" t="s">
        <v>407</v>
      </c>
      <c r="F132" s="21" t="s">
        <v>591</v>
      </c>
      <c r="G132" s="21" t="s">
        <v>411</v>
      </c>
      <c r="H132" s="21" t="s">
        <v>864</v>
      </c>
      <c r="I132" s="21" t="s">
        <v>864</v>
      </c>
      <c r="J132" s="21" t="s">
        <v>867</v>
      </c>
      <c r="K132" s="21"/>
      <c r="L132" s="19"/>
      <c r="M132" s="19" t="s">
        <v>293</v>
      </c>
      <c r="N132" s="19" t="str">
        <f>INDEX(PNGs!$J:J,MATCH($M132,PNGs!B:B,0))</f>
        <v xml:space="preserve">
https://xmart-api-public.who.int/MNCAH/MCA_FACT_DATA?$filter=INDICATOR_FK%20in%20(%22AGE_OVER60PCT%22,%22AGE_OVER80PCT%22,%22AGE_LE60%22,%22AGE_HALE60%22,%22AGE_MORT_TOP10%22,%22AGE_YLD%22,%22AGE_OBESITY%22,%22AGE_INSUFACT%22,%22AGE_RESIDE%22,%22AGE_LABOUR%22,%22AGE_RESIDELTA%22,%22AGE_FALL%22,%22AGE_BACKPAIN%22,%22AGE_AGEIST%22,%22AGE_ABUSE%22)&amp;$select=INDICATOR_FK,YEAR_FK,COUNTRY_FK,COUNTRY_FK__CODE,ValueString,ValueNumeric,ValueLow,ValueHigh,ValueStdDev,ValueStdErr,Comments,EffectiveDate,EndDate,Status,AGEGROUP_FK,AGEGROUP_FK__CODE,Answer_FK,CauseGHE_FK,CauseGHE_FK__CODE,CauseGHEChild_FK,CauseGHEChild_FK__CODE,CauseENVCAUSE_FK,CauseENVCAUSE_FK__CODE,DatasourceLong,DatasourceShort,ImpSan_FK,ImpWater_FK,LivingArrangements_FK,MEASDEF_FK,MOTHEREDUCATION_FK,ProficiencyLevel_FK,ResideLTA_FK,RESIDENCEAREA_FK,SABDefinition_FK,SEVERITY_FK,SEVERITYHEARING_FK,SEVERITYVISION_FK,SEX_FK,WEALTHQUINTILE_FK</v>
      </c>
      <c r="O132" s="22" t="s">
        <v>688</v>
      </c>
      <c r="P132" s="20" t="s">
        <v>587</v>
      </c>
      <c r="Q132" s="20"/>
      <c r="R132" s="20" t="s">
        <v>588</v>
      </c>
      <c r="S132" s="19" t="s">
        <v>589</v>
      </c>
    </row>
    <row r="133" spans="1:19" s="15" customFormat="1" ht="302.39999999999998" hidden="1" x14ac:dyDescent="0.3">
      <c r="A133" s="21">
        <v>125</v>
      </c>
      <c r="B133" s="21" t="s">
        <v>819</v>
      </c>
      <c r="C133" s="21" t="s">
        <v>867</v>
      </c>
      <c r="D133" s="21"/>
      <c r="E133" s="21" t="s">
        <v>407</v>
      </c>
      <c r="F133" s="21" t="s">
        <v>590</v>
      </c>
      <c r="G133" s="21" t="s">
        <v>411</v>
      </c>
      <c r="H133" s="21" t="s">
        <v>864</v>
      </c>
      <c r="I133" s="21" t="s">
        <v>864</v>
      </c>
      <c r="J133" s="21" t="s">
        <v>867</v>
      </c>
      <c r="K133" s="21"/>
      <c r="L133" s="19"/>
      <c r="M133" s="19" t="s">
        <v>294</v>
      </c>
      <c r="N133" s="19" t="str">
        <f>INDEX(PNGs!$J:J,MATCH($M133,PNGs!B:B,0))</f>
        <v xml:space="preserve">
https://xmart-api-public.who.int/MNCAH/MCA_FACT_DATA?$filter=INDICATOR_FK%20in%20(%22AGE_OVER60PCT%22,%22AGE_OVER80PCT%22,%22AGE_LE60%22,%22AGE_HALE60%22,%22AGE_MORT_TOP10%22,%22AGE_YLD%22,%22AGE_OBESITY%22,%22AGE_INSUFACT%22,%22AGE_RESIDE%22,%22AGE_LABOUR%22,%22AGE_RESIDELTA%22,%22AGE_FALL%22,%22AGE_BACKPAIN%22,%22AGE_AGEIST%22,%22AGE_ABUSE%22)&amp;$select=INDICATOR_FK,YEAR_FK,COUNTRY_FK,COUNTRY_FK__CODE,ValueString,ValueNumeric,ValueLow,ValueHigh,ValueStdDev,ValueStdErr,Comments,EffectiveDate,EndDate,Status,AGEGROUP_FK,AGEGROUP_FK__CODE,Answer_FK,CauseGHE_FK,CauseGHE_FK__CODE,CauseGHEChild_FK,CauseGHEChild_FK__CODE,CauseENVCAUSE_FK,CauseENVCAUSE_FK__CODE,DatasourceLong,DatasourceShort,ImpSan_FK,ImpWater_FK,LivingArrangements_FK,MEASDEF_FK,MOTHEREDUCATION_FK,ProficiencyLevel_FK,ResideLTA_FK,RESIDENCEAREA_FK,SABDefinition_FK,SEVERITY_FK,SEVERITYHEARING_FK,SEVERITYVISION_FK,SEX_FK,WEALTHQUINTILE_FK</v>
      </c>
      <c r="O133" s="22" t="s">
        <v>688</v>
      </c>
      <c r="P133" s="20" t="s">
        <v>587</v>
      </c>
      <c r="Q133" s="20"/>
      <c r="R133" s="20" t="s">
        <v>588</v>
      </c>
      <c r="S133" s="19" t="s">
        <v>589</v>
      </c>
    </row>
    <row r="134" spans="1:19" s="15" customFormat="1" ht="302.39999999999998" hidden="1" x14ac:dyDescent="0.3">
      <c r="A134" s="19">
        <v>126</v>
      </c>
      <c r="B134" s="21" t="s">
        <v>821</v>
      </c>
      <c r="C134" s="19"/>
      <c r="D134" s="19"/>
      <c r="E134" s="19" t="s">
        <v>407</v>
      </c>
      <c r="F134" s="19" t="s">
        <v>592</v>
      </c>
      <c r="G134" s="19" t="s">
        <v>593</v>
      </c>
      <c r="H134" s="19" t="s">
        <v>864</v>
      </c>
      <c r="I134" s="19" t="s">
        <v>864</v>
      </c>
      <c r="J134" s="19" t="s">
        <v>864</v>
      </c>
      <c r="K134" s="19"/>
      <c r="L134" s="19"/>
      <c r="M134" s="19" t="s">
        <v>296</v>
      </c>
      <c r="N134" s="19" t="str">
        <f>INDEX(PNGs!$J:J,MATCH($M134,PNGs!B:B,0))</f>
        <v xml:space="preserve">
https://xmart-api-public.who.int/MNCAH/MCA_FACT_DATA?$filter=INDICATOR_FK%20in%20(%22AGE_OVER60PCT%22,%22AGE_OVER80PCT%22,%22AGE_LE60%22,%22AGE_HALE60%22,%22AGE_MORT_TOP10%22,%22AGE_YLD%22,%22AGE_OBESITY%22,%22AGE_INSUFACT%22,%22AGE_RESIDE%22,%22AGE_LABOUR%22,%22AGE_RESIDELTA%22,%22AGE_FALL%22,%22AGE_BACKPAIN%22,%22AGE_AGEIST%22,%22AGE_ABUSE%22)&amp;$select=INDICATOR_FK,YEAR_FK,COUNTRY_FK,COUNTRY_FK__CODE,ValueString,ValueNumeric,ValueLow,ValueHigh,ValueStdDev,ValueStdErr,Comments,EffectiveDate,EndDate,Status,AGEGROUP_FK,AGEGROUP_FK__CODE,Answer_FK,CauseGHE_FK,CauseGHE_FK__CODE,CauseGHEChild_FK,CauseGHEChild_FK__CODE,CauseENVCAUSE_FK,CauseENVCAUSE_FK__CODE,DatasourceLong,DatasourceShort,ImpSan_FK,ImpWater_FK,LivingArrangements_FK,MEASDEF_FK,MOTHEREDUCATION_FK,ProficiencyLevel_FK,ResideLTA_FK,RESIDENCEAREA_FK,SABDefinition_FK,SEVERITY_FK,SEVERITYHEARING_FK,SEVERITYVISION_FK,SEX_FK,WEALTHQUINTILE_FK</v>
      </c>
      <c r="O134" s="22" t="s">
        <v>594</v>
      </c>
      <c r="P134" s="20" t="s">
        <v>479</v>
      </c>
      <c r="Q134" s="20"/>
      <c r="R134" s="20" t="s">
        <v>588</v>
      </c>
      <c r="S134" s="19"/>
    </row>
    <row r="135" spans="1:19" s="15" customFormat="1" ht="302.39999999999998" hidden="1" x14ac:dyDescent="0.3">
      <c r="A135" s="19">
        <v>127</v>
      </c>
      <c r="B135" s="21" t="s">
        <v>822</v>
      </c>
      <c r="C135" s="19"/>
      <c r="D135" s="19"/>
      <c r="E135" s="19" t="s">
        <v>407</v>
      </c>
      <c r="F135" s="19" t="s">
        <v>595</v>
      </c>
      <c r="G135" s="19" t="s">
        <v>596</v>
      </c>
      <c r="H135" s="19" t="s">
        <v>864</v>
      </c>
      <c r="I135" s="19" t="s">
        <v>864</v>
      </c>
      <c r="J135" s="19" t="s">
        <v>864</v>
      </c>
      <c r="K135" s="19"/>
      <c r="L135" s="19"/>
      <c r="M135" s="19" t="s">
        <v>298</v>
      </c>
      <c r="N135" s="19" t="str">
        <f>INDEX(PNGs!$J:J,MATCH($M135,PNGs!B:B,0))</f>
        <v xml:space="preserve">
https://xmart-api-public.who.int/MNCAH/MCA_FACT_DATA?$filter=INDICATOR_FK%20in%20(%22AGE_OVER60PCT%22,%22AGE_OVER80PCT%22,%22AGE_LE60%22,%22AGE_HALE60%22,%22AGE_MORT_TOP10%22,%22AGE_YLD%22,%22AGE_OBESITY%22,%22AGE_INSUFACT%22,%22AGE_RESIDE%22,%22AGE_LABOUR%22,%22AGE_RESIDELTA%22,%22AGE_FALL%22,%22AGE_BACKPAIN%22,%22AGE_AGEIST%22,%22AGE_ABUSE%22)&amp;$select=INDICATOR_FK,YEAR_FK,COUNTRY_FK,COUNTRY_FK__CODE,ValueString,ValueNumeric,ValueLow,ValueHigh,ValueStdDev,ValueStdErr,Comments,EffectiveDate,EndDate,Status,AGEGROUP_FK,AGEGROUP_FK__CODE,Answer_FK,CauseGHE_FK,CauseGHE_FK__CODE,CauseGHEChild_FK,CauseGHEChild_FK__CODE,CauseENVCAUSE_FK,CauseENVCAUSE_FK__CODE,DatasourceLong,DatasourceShort,ImpSan_FK,ImpWater_FK,LivingArrangements_FK,MEASDEF_FK,MOTHEREDUCATION_FK,ProficiencyLevel_FK,ResideLTA_FK,RESIDENCEAREA_FK,SABDefinition_FK,SEVERITY_FK,SEVERITYHEARING_FK,SEVERITYVISION_FK,SEX_FK,WEALTHQUINTILE_FK</v>
      </c>
      <c r="O135" s="22" t="s">
        <v>594</v>
      </c>
      <c r="P135" s="20" t="s">
        <v>479</v>
      </c>
      <c r="Q135" s="20"/>
      <c r="R135" s="20" t="s">
        <v>588</v>
      </c>
      <c r="S135" s="19"/>
    </row>
    <row r="136" spans="1:19" s="15" customFormat="1" ht="302.39999999999998" hidden="1" x14ac:dyDescent="0.3">
      <c r="A136" s="19">
        <v>128</v>
      </c>
      <c r="B136" s="21" t="s">
        <v>823</v>
      </c>
      <c r="C136" s="19"/>
      <c r="D136" s="19"/>
      <c r="E136" s="19" t="s">
        <v>407</v>
      </c>
      <c r="F136" s="19" t="s">
        <v>597</v>
      </c>
      <c r="G136" s="19" t="s">
        <v>598</v>
      </c>
      <c r="H136" s="19" t="s">
        <v>864</v>
      </c>
      <c r="I136" s="19" t="s">
        <v>864</v>
      </c>
      <c r="J136" s="19" t="s">
        <v>864</v>
      </c>
      <c r="K136" s="19"/>
      <c r="L136" s="19"/>
      <c r="M136" s="19" t="s">
        <v>300</v>
      </c>
      <c r="N136" s="19" t="str">
        <f>INDEX(PNGs!$J:J,MATCH($M136,PNGs!B:B,0))</f>
        <v xml:space="preserve">
https://xmart-api-public.who.int/MNCAH/MCA_FACT_DATA?$filter=INDICATOR_FK%20in%20(%22AGE_OVER60PCT%22,%22AGE_OVER80PCT%22,%22AGE_LE60%22,%22AGE_HALE60%22,%22AGE_MORT_TOP10%22,%22AGE_YLD%22,%22AGE_OBESITY%22,%22AGE_INSUFACT%22,%22AGE_RESIDE%22,%22AGE_LABOUR%22,%22AGE_RESIDELTA%22,%22AGE_FALL%22,%22AGE_BACKPAIN%22,%22AGE_AGEIST%22,%22AGE_ABUSE%22)&amp;$select=INDICATOR_FK,YEAR_FK,COUNTRY_FK,COUNTRY_FK__CODE,ValueString,ValueNumeric,ValueLow,ValueHigh,ValueStdDev,ValueStdErr,Comments,EffectiveDate,EndDate,Status,AGEGROUP_FK,AGEGROUP_FK__CODE,Answer_FK,CauseGHE_FK,CauseGHE_FK__CODE,CauseGHEChild_FK,CauseGHEChild_FK__CODE,CauseENVCAUSE_FK,CauseENVCAUSE_FK__CODE,DatasourceLong,DatasourceShort,ImpSan_FK,ImpWater_FK,LivingArrangements_FK,MEASDEF_FK,MOTHEREDUCATION_FK,ProficiencyLevel_FK,ResideLTA_FK,RESIDENCEAREA_FK,SABDefinition_FK,SEVERITY_FK,SEVERITYHEARING_FK,SEVERITYVISION_FK,SEX_FK,WEALTHQUINTILE_FK</v>
      </c>
      <c r="O136" s="22" t="s">
        <v>594</v>
      </c>
      <c r="P136" s="20" t="s">
        <v>479</v>
      </c>
      <c r="Q136" s="20"/>
      <c r="R136" s="20" t="s">
        <v>588</v>
      </c>
      <c r="S136" s="19"/>
    </row>
    <row r="137" spans="1:19" s="15" customFormat="1" ht="302.39999999999998" hidden="1" x14ac:dyDescent="0.3">
      <c r="A137" s="19">
        <v>129</v>
      </c>
      <c r="B137" s="21" t="s">
        <v>824</v>
      </c>
      <c r="C137" s="19"/>
      <c r="D137" s="19"/>
      <c r="E137" s="19" t="s">
        <v>407</v>
      </c>
      <c r="F137" s="19" t="s">
        <v>595</v>
      </c>
      <c r="G137" s="19" t="s">
        <v>599</v>
      </c>
      <c r="H137" s="19" t="s">
        <v>864</v>
      </c>
      <c r="I137" s="19" t="s">
        <v>864</v>
      </c>
      <c r="J137" s="19" t="s">
        <v>864</v>
      </c>
      <c r="K137" s="19"/>
      <c r="L137" s="19"/>
      <c r="M137" s="19" t="s">
        <v>299</v>
      </c>
      <c r="N137" s="19" t="str">
        <f>INDEX(PNGs!$J:J,MATCH($M137,PNGs!B:B,0))</f>
        <v xml:space="preserve">
https://xmart-api-public.who.int/MNCAH/MCA_FACT_DATA?$filter=INDICATOR_FK%20in%20(%22AGE_OVER60PCT%22,%22AGE_OVER80PCT%22,%22AGE_LE60%22,%22AGE_HALE60%22,%22AGE_MORT_TOP10%22,%22AGE_YLD%22,%22AGE_OBESITY%22,%22AGE_INSUFACT%22,%22AGE_RESIDE%22,%22AGE_LABOUR%22,%22AGE_RESIDELTA%22,%22AGE_FALL%22,%22AGE_BACKPAIN%22,%22AGE_AGEIST%22,%22AGE_ABUSE%22)&amp;$select=INDICATOR_FK,YEAR_FK,COUNTRY_FK,COUNTRY_FK__CODE,ValueString,ValueNumeric,ValueLow,ValueHigh,ValueStdDev,ValueStdErr,Comments,EffectiveDate,EndDate,Status,AGEGROUP_FK,AGEGROUP_FK__CODE,Answer_FK,CauseGHE_FK,CauseGHE_FK__CODE,CauseGHEChild_FK,CauseGHEChild_FK__CODE,CauseENVCAUSE_FK,CauseENVCAUSE_FK__CODE,DatasourceLong,DatasourceShort,ImpSan_FK,ImpWater_FK,LivingArrangements_FK,MEASDEF_FK,MOTHEREDUCATION_FK,ProficiencyLevel_FK,ResideLTA_FK,RESIDENCEAREA_FK,SABDefinition_FK,SEVERITY_FK,SEVERITYHEARING_FK,SEVERITYVISION_FK,SEX_FK,WEALTHQUINTILE_FK</v>
      </c>
      <c r="O137" s="22" t="s">
        <v>594</v>
      </c>
      <c r="P137" s="20" t="s">
        <v>479</v>
      </c>
      <c r="Q137" s="20"/>
      <c r="R137" s="20" t="s">
        <v>588</v>
      </c>
      <c r="S137" s="19"/>
    </row>
    <row r="138" spans="1:19" s="15" customFormat="1" ht="302.39999999999998" hidden="1" x14ac:dyDescent="0.3">
      <c r="A138" s="19">
        <v>130</v>
      </c>
      <c r="B138" s="21" t="s">
        <v>825</v>
      </c>
      <c r="C138" s="19"/>
      <c r="D138" s="19"/>
      <c r="E138" s="19" t="s">
        <v>407</v>
      </c>
      <c r="F138" s="19" t="s">
        <v>597</v>
      </c>
      <c r="G138" s="19" t="s">
        <v>600</v>
      </c>
      <c r="H138" s="19" t="s">
        <v>864</v>
      </c>
      <c r="I138" s="19" t="s">
        <v>864</v>
      </c>
      <c r="J138" s="19" t="s">
        <v>864</v>
      </c>
      <c r="K138" s="19"/>
      <c r="L138" s="19"/>
      <c r="M138" s="19" t="s">
        <v>301</v>
      </c>
      <c r="N138" s="19" t="str">
        <f>INDEX(PNGs!$J:J,MATCH($M138,PNGs!B:B,0))</f>
        <v xml:space="preserve">
https://xmart-api-public.who.int/MNCAH/MCA_FACT_DATA?$filter=INDICATOR_FK%20in%20(%22AGE_OVER60PCT%22,%22AGE_OVER80PCT%22,%22AGE_LE60%22,%22AGE_HALE60%22,%22AGE_MORT_TOP10%22,%22AGE_YLD%22,%22AGE_OBESITY%22,%22AGE_INSUFACT%22,%22AGE_RESIDE%22,%22AGE_LABOUR%22,%22AGE_RESIDELTA%22,%22AGE_FALL%22,%22AGE_BACKPAIN%22,%22AGE_AGEIST%22,%22AGE_ABUSE%22)&amp;$select=INDICATOR_FK,YEAR_FK,COUNTRY_FK,COUNTRY_FK__CODE,ValueString,ValueNumeric,ValueLow,ValueHigh,ValueStdDev,ValueStdErr,Comments,EffectiveDate,EndDate,Status,AGEGROUP_FK,AGEGROUP_FK__CODE,Answer_FK,CauseGHE_FK,CauseGHE_FK__CODE,CauseGHEChild_FK,CauseGHEChild_FK__CODE,CauseENVCAUSE_FK,CauseENVCAUSE_FK__CODE,DatasourceLong,DatasourceShort,ImpSan_FK,ImpWater_FK,LivingArrangements_FK,MEASDEF_FK,MOTHEREDUCATION_FK,ProficiencyLevel_FK,ResideLTA_FK,RESIDENCEAREA_FK,SABDefinition_FK,SEVERITY_FK,SEVERITYHEARING_FK,SEVERITYVISION_FK,SEX_FK,WEALTHQUINTILE_FK</v>
      </c>
      <c r="O138" s="22" t="s">
        <v>594</v>
      </c>
      <c r="P138" s="20" t="s">
        <v>479</v>
      </c>
      <c r="Q138" s="20"/>
      <c r="R138" s="20" t="s">
        <v>588</v>
      </c>
      <c r="S138" s="19"/>
    </row>
    <row r="139" spans="1:19" s="15" customFormat="1" ht="216" hidden="1" x14ac:dyDescent="0.3">
      <c r="A139" s="23">
        <v>131</v>
      </c>
      <c r="B139" s="23" t="s">
        <v>826</v>
      </c>
      <c r="C139" s="23"/>
      <c r="D139" s="23"/>
      <c r="E139" s="23" t="s">
        <v>407</v>
      </c>
      <c r="F139" s="23" t="s">
        <v>601</v>
      </c>
      <c r="G139" s="23" t="s">
        <v>602</v>
      </c>
      <c r="H139" s="19" t="s">
        <v>864</v>
      </c>
      <c r="I139" s="19" t="s">
        <v>864</v>
      </c>
      <c r="J139" s="23" t="s">
        <v>747</v>
      </c>
      <c r="K139" s="23"/>
      <c r="L139" s="21" t="b">
        <v>0</v>
      </c>
      <c r="M139" s="19" t="s">
        <v>604</v>
      </c>
      <c r="N139" s="19">
        <f>INDEX(PNGs!$J:J,MATCH($M139,PNGs!B:B,0))</f>
        <v>0</v>
      </c>
      <c r="O139" s="22" t="s">
        <v>564</v>
      </c>
      <c r="P139" s="20" t="s">
        <v>615</v>
      </c>
      <c r="Q139" s="20"/>
      <c r="R139" s="20"/>
      <c r="S139" s="19" t="s">
        <v>616</v>
      </c>
    </row>
    <row r="140" spans="1:19" s="15" customFormat="1" ht="302.39999999999998" hidden="1" x14ac:dyDescent="0.3">
      <c r="A140" s="21">
        <v>132</v>
      </c>
      <c r="B140" s="19" t="s">
        <v>827</v>
      </c>
      <c r="C140" s="21"/>
      <c r="D140" s="21"/>
      <c r="E140" s="21" t="s">
        <v>407</v>
      </c>
      <c r="F140" s="21" t="s">
        <v>601</v>
      </c>
      <c r="G140" s="21" t="s">
        <v>617</v>
      </c>
      <c r="H140" s="19" t="s">
        <v>864</v>
      </c>
      <c r="I140" s="19" t="s">
        <v>864</v>
      </c>
      <c r="J140" s="19" t="s">
        <v>864</v>
      </c>
      <c r="K140" s="19"/>
      <c r="L140" s="21" t="b">
        <v>0</v>
      </c>
      <c r="M140" s="19" t="s">
        <v>303</v>
      </c>
      <c r="N140" s="19" t="str">
        <f>INDEX(PNGs!$J:J,MATCH($M140,PNGs!B:B,0))</f>
        <v xml:space="preserve">
https://xmart-api-public.who.int/MNCAH/MCA_FACT_DATA?$filter=INDICATOR_FK%20in%20(%22AGE_OVER60PCT%22,%22AGE_OVER80PCT%22,%22AGE_LE60%22,%22AGE_HALE60%22,%22AGE_MORT_TOP10%22,%22AGE_YLD%22,%22AGE_OBESITY%22,%22AGE_INSUFACT%22,%22AGE_RESIDE%22,%22AGE_LABOUR%22,%22AGE_RESIDELTA%22,%22AGE_FALL%22,%22AGE_BACKPAIN%22,%22AGE_AGEIST%22,%22AGE_ABUSE%22)&amp;$select=INDICATOR_FK,YEAR_FK,COUNTRY_FK,COUNTRY_FK__CODE,ValueString,ValueNumeric,ValueLow,ValueHigh,ValueStdDev,ValueStdErr,Comments,EffectiveDate,EndDate,Status,AGEGROUP_FK,AGEGROUP_FK__CODE,Answer_FK,CauseGHE_FK,CauseGHE_FK__CODE,CauseGHEChild_FK,CauseGHEChild_FK__CODE,CauseENVCAUSE_FK,CauseENVCAUSE_FK__CODE,DatasourceLong,DatasourceShort,ImpSan_FK,ImpWater_FK,LivingArrangements_FK,MEASDEF_FK,MOTHEREDUCATION_FK,ProficiencyLevel_FK,ResideLTA_FK,RESIDENCEAREA_FK,SABDefinition_FK,SEVERITY_FK,SEVERITYHEARING_FK,SEVERITYVISION_FK,SEX_FK,WEALTHQUINTILE_FK</v>
      </c>
      <c r="O140" s="22" t="s">
        <v>564</v>
      </c>
      <c r="P140" s="20" t="s">
        <v>615</v>
      </c>
      <c r="Q140" s="20"/>
      <c r="R140" s="20"/>
      <c r="S140" s="19" t="s">
        <v>616</v>
      </c>
    </row>
    <row r="141" spans="1:19" s="15" customFormat="1" ht="302.39999999999998" hidden="1" x14ac:dyDescent="0.3">
      <c r="A141" s="21">
        <v>133</v>
      </c>
      <c r="B141" s="19" t="s">
        <v>828</v>
      </c>
      <c r="C141" s="21"/>
      <c r="D141" s="21"/>
      <c r="E141" s="21" t="s">
        <v>407</v>
      </c>
      <c r="F141" s="21" t="s">
        <v>618</v>
      </c>
      <c r="G141" s="21" t="s">
        <v>619</v>
      </c>
      <c r="H141" s="19" t="s">
        <v>864</v>
      </c>
      <c r="I141" s="19" t="s">
        <v>864</v>
      </c>
      <c r="J141" s="19" t="s">
        <v>864</v>
      </c>
      <c r="K141" s="19"/>
      <c r="L141" s="21" t="b">
        <v>0</v>
      </c>
      <c r="M141" s="19" t="s">
        <v>304</v>
      </c>
      <c r="N141" s="19" t="str">
        <f>INDEX(PNGs!$J:J,MATCH($M141,PNGs!B:B,0))</f>
        <v xml:space="preserve">
https://xmart-api-public.who.int/MNCAH/MCA_FACT_DATA?$filter=INDICATOR_FK%20in%20(%22AGE_OVER60PCT%22,%22AGE_OVER80PCT%22,%22AGE_LE60%22,%22AGE_HALE60%22,%22AGE_MORT_TOP10%22,%22AGE_YLD%22,%22AGE_OBESITY%22,%22AGE_INSUFACT%22,%22AGE_RESIDE%22,%22AGE_LABOUR%22,%22AGE_RESIDELTA%22,%22AGE_FALL%22,%22AGE_BACKPAIN%22,%22AGE_AGEIST%22,%22AGE_ABUSE%22)&amp;$select=INDICATOR_FK,YEAR_FK,COUNTRY_FK,COUNTRY_FK__CODE,ValueString,ValueNumeric,ValueLow,ValueHigh,ValueStdDev,ValueStdErr,Comments,EffectiveDate,EndDate,Status,AGEGROUP_FK,AGEGROUP_FK__CODE,Answer_FK,CauseGHE_FK,CauseGHE_FK__CODE,CauseGHEChild_FK,CauseGHEChild_FK__CODE,CauseENVCAUSE_FK,CauseENVCAUSE_FK__CODE,DatasourceLong,DatasourceShort,ImpSan_FK,ImpWater_FK,LivingArrangements_FK,MEASDEF_FK,MOTHEREDUCATION_FK,ProficiencyLevel_FK,ResideLTA_FK,RESIDENCEAREA_FK,SABDefinition_FK,SEVERITY_FK,SEVERITYHEARING_FK,SEVERITYVISION_FK,SEX_FK,WEALTHQUINTILE_FK</v>
      </c>
      <c r="O141" s="22" t="s">
        <v>564</v>
      </c>
      <c r="P141" s="20" t="s">
        <v>615</v>
      </c>
      <c r="Q141" s="20"/>
      <c r="R141" s="20"/>
      <c r="S141" s="19" t="s">
        <v>616</v>
      </c>
    </row>
    <row r="142" spans="1:19" s="15" customFormat="1" ht="302.39999999999998" hidden="1" x14ac:dyDescent="0.3">
      <c r="A142" s="21">
        <v>134</v>
      </c>
      <c r="B142" s="21" t="s">
        <v>829</v>
      </c>
      <c r="C142" s="21"/>
      <c r="D142" s="21"/>
      <c r="E142" s="21" t="s">
        <v>407</v>
      </c>
      <c r="F142" s="21" t="s">
        <v>618</v>
      </c>
      <c r="G142" s="21" t="s">
        <v>620</v>
      </c>
      <c r="H142" s="19" t="s">
        <v>864</v>
      </c>
      <c r="I142" s="19" t="s">
        <v>864</v>
      </c>
      <c r="J142" s="19" t="s">
        <v>864</v>
      </c>
      <c r="K142" s="19"/>
      <c r="L142" s="21" t="b">
        <v>0</v>
      </c>
      <c r="M142" s="19" t="s">
        <v>305</v>
      </c>
      <c r="N142" s="19" t="str">
        <f>INDEX(PNGs!$J:J,MATCH($M142,PNGs!B:B,0))</f>
        <v xml:space="preserve">
https://xmart-api-public.who.int/MNCAH/MCA_FACT_DATA?$filter=INDICATOR_FK%20in%20(%22AGE_OVER60PCT%22,%22AGE_OVER80PCT%22,%22AGE_LE60%22,%22AGE_HALE60%22,%22AGE_MORT_TOP10%22,%22AGE_YLD%22,%22AGE_OBESITY%22,%22AGE_INSUFACT%22,%22AGE_RESIDE%22,%22AGE_LABOUR%22,%22AGE_RESIDELTA%22,%22AGE_FALL%22,%22AGE_BACKPAIN%22,%22AGE_AGEIST%22,%22AGE_ABUSE%22)&amp;$select=INDICATOR_FK,YEAR_FK,COUNTRY_FK,COUNTRY_FK__CODE,ValueString,ValueNumeric,ValueLow,ValueHigh,ValueStdDev,ValueStdErr,Comments,EffectiveDate,EndDate,Status,AGEGROUP_FK,AGEGROUP_FK__CODE,Answer_FK,CauseGHE_FK,CauseGHE_FK__CODE,CauseGHEChild_FK,CauseGHEChild_FK__CODE,CauseENVCAUSE_FK,CauseENVCAUSE_FK__CODE,DatasourceLong,DatasourceShort,ImpSan_FK,ImpWater_FK,LivingArrangements_FK,MEASDEF_FK,MOTHEREDUCATION_FK,ProficiencyLevel_FK,ResideLTA_FK,RESIDENCEAREA_FK,SABDefinition_FK,SEVERITY_FK,SEVERITYHEARING_FK,SEVERITYVISION_FK,SEX_FK,WEALTHQUINTILE_FK</v>
      </c>
      <c r="O142" s="22" t="s">
        <v>564</v>
      </c>
      <c r="P142" s="20" t="s">
        <v>615</v>
      </c>
      <c r="Q142" s="20"/>
      <c r="R142" s="20"/>
      <c r="S142" s="19" t="s">
        <v>616</v>
      </c>
    </row>
    <row r="143" spans="1:19" s="15" customFormat="1" ht="244.8" hidden="1" x14ac:dyDescent="0.3">
      <c r="A143" s="19">
        <v>135</v>
      </c>
      <c r="B143" s="21" t="s">
        <v>830</v>
      </c>
      <c r="C143" s="19"/>
      <c r="D143" s="19"/>
      <c r="E143" s="19" t="s">
        <v>407</v>
      </c>
      <c r="F143" s="19" t="s">
        <v>621</v>
      </c>
      <c r="G143" s="19" t="s">
        <v>622</v>
      </c>
      <c r="H143" s="19" t="s">
        <v>864</v>
      </c>
      <c r="I143" s="19" t="b">
        <v>0</v>
      </c>
      <c r="J143" s="19" t="s">
        <v>864</v>
      </c>
      <c r="K143" s="19"/>
      <c r="L143" s="19" t="b">
        <v>0</v>
      </c>
      <c r="M143" s="19" t="s">
        <v>326</v>
      </c>
      <c r="N143" s="19" t="str">
        <f>INDEX(PNGs!$J:J,MATCH($M143,PNGs!B:B,0))</f>
        <v>https://xmart-api-public.who.int/MNCAH/MCA_FACT_DATA_AGGREGATED?%24filter=AGEGROUP_FK%20in%20(%22AGE60Y-PLUS%22)%20and%20INDICATOR_FK%20in%20(%22AGE_MORT_TOP20%22)%20and%20SEX_FK%20in%20(%22BTSX%22)&amp;%24select=INDICATOR_FK,GLOBAL_FK,REGION_FK,SDGRegion_FK,WORLDBANKINCOMEGROUP_FK,YEAR_FK,ValueString,ValueNumeric,ValueLow,ValueHigh,ValueStdDev,ValueStdErr,Comments,EffectiveDate,EndDate,Status,AGEGROUP_FK,AGEGROUP_FK__CODE,Answer_FK,CauseGHE_FK,CauseGHE_FK__CODE,CauseGHEChild_FK,CauseGHEChild_FK__CODE,CauseENVCAUSE_FK,CauseENVCAUSE_FK__CODE,DatasourceLong,DatasourceShort,ImpSan_FK,ImpWater_FK,LivingArrangements_FK,MEASDEF_FK,MOTHEREDUCATION_FK,ProficiencyLevel_FK,ResideLTA_FK,RESIDENCEAREA_FK,SABDefinition_FK,SEVERITY_FK,SEVERITYHEARING_FK,SEVERITYVISION_FK,SEX_FK,WEALTHQUINTILE_FK</v>
      </c>
      <c r="O143" s="22" t="s">
        <v>564</v>
      </c>
      <c r="P143" s="20" t="s">
        <v>479</v>
      </c>
      <c r="Q143" s="20"/>
      <c r="R143" s="20"/>
      <c r="S143" s="19"/>
    </row>
    <row r="144" spans="1:19" s="15" customFormat="1" ht="244.8" hidden="1" x14ac:dyDescent="0.3">
      <c r="A144" s="19">
        <v>136</v>
      </c>
      <c r="B144" s="21" t="s">
        <v>831</v>
      </c>
      <c r="C144" s="19"/>
      <c r="D144" s="19"/>
      <c r="E144" s="19" t="s">
        <v>407</v>
      </c>
      <c r="F144" s="19" t="s">
        <v>621</v>
      </c>
      <c r="G144" s="19" t="s">
        <v>623</v>
      </c>
      <c r="H144" s="19" t="s">
        <v>864</v>
      </c>
      <c r="I144" s="19" t="b">
        <v>0</v>
      </c>
      <c r="J144" s="19" t="s">
        <v>864</v>
      </c>
      <c r="K144" s="19"/>
      <c r="L144" s="19" t="b">
        <v>0</v>
      </c>
      <c r="M144" s="19" t="s">
        <v>329</v>
      </c>
      <c r="N144" s="19" t="str">
        <f>INDEX(PNGs!$J:J,MATCH($M144,PNGs!B:B,0))</f>
        <v>https://xmart-api-public.who.int/MNCAH/MCA_FACT_DATA_AGGREGATED?%24filter=AGEGROUP_FK%20in%20(%22AGE60Y-PLUS%22)%20and%20INDICATOR_FK%20in%20(%22AGE_MORT_TOP20%22)%20and%20SEX_FK%20in%20(%22BTSX%22)&amp;%24select=INDICATOR_FK,GLOBAL_FK,REGION_FK,SDGRegion_FK,WORLDBANKINCOMEGROUP_FK,YEAR_FK,ValueString,ValueNumeric,ValueLow,ValueHigh,ValueStdDev,ValueStdErr,Comments,EffectiveDate,EndDate,Status,AGEGROUP_FK,AGEGROUP_FK__CODE,Answer_FK,CauseGHE_FK,CauseGHE_FK__CODE,CauseGHEChild_FK,CauseGHEChild_FK__CODE,CauseENVCAUSE_FK,CauseENVCAUSE_FK__CODE,DatasourceLong,DatasourceShort,ImpSan_FK,ImpWater_FK,LivingArrangements_FK,MEASDEF_FK,MOTHEREDUCATION_FK,ProficiencyLevel_FK,ResideLTA_FK,RESIDENCEAREA_FK,SABDefinition_FK,SEVERITY_FK,SEVERITYHEARING_FK,SEVERITYVISION_FK,SEX_FK,WEALTHQUINTILE_FK</v>
      </c>
      <c r="O144" s="22" t="s">
        <v>564</v>
      </c>
      <c r="P144" s="20" t="s">
        <v>479</v>
      </c>
      <c r="Q144" s="20"/>
      <c r="R144" s="20"/>
      <c r="S144" s="19"/>
    </row>
    <row r="145" spans="1:19" s="15" customFormat="1" ht="57.6" hidden="1" x14ac:dyDescent="0.3">
      <c r="A145" s="29">
        <v>137</v>
      </c>
      <c r="B145" s="21" t="s">
        <v>832</v>
      </c>
      <c r="C145" s="29"/>
      <c r="D145" s="29"/>
      <c r="E145" s="29" t="s">
        <v>407</v>
      </c>
      <c r="F145" s="29" t="s">
        <v>624</v>
      </c>
      <c r="G145" s="29" t="s">
        <v>625</v>
      </c>
      <c r="H145" s="29" t="s">
        <v>864</v>
      </c>
      <c r="I145" s="29" t="b">
        <v>0</v>
      </c>
      <c r="J145" s="29" t="s">
        <v>864</v>
      </c>
      <c r="K145" s="29"/>
      <c r="L145" s="29" t="b">
        <v>0</v>
      </c>
      <c r="M145" s="29" t="s">
        <v>332</v>
      </c>
      <c r="N145" s="29" t="str">
        <f>INDEX(PNGs!$J:J,MATCH($M145,PNGs!B:B,0))</f>
        <v>https://xmart-api-public.who.int/MNCAH/MCA_FACT_DATA_AGGREGATED?$filter=INDICATOR_FK%20in%20(%22AGE_YLD%22)%20and%20SEX_FK%20in%20(%22BTSX%22)</v>
      </c>
      <c r="O145" s="30" t="s">
        <v>564</v>
      </c>
      <c r="P145" s="31" t="s">
        <v>479</v>
      </c>
      <c r="Q145" s="31"/>
      <c r="R145" s="31"/>
      <c r="S145" s="29"/>
    </row>
    <row r="146" spans="1:19" s="15" customFormat="1" ht="57.6" hidden="1" x14ac:dyDescent="0.3">
      <c r="A146" s="29">
        <v>138</v>
      </c>
      <c r="B146" s="21" t="s">
        <v>833</v>
      </c>
      <c r="C146" s="29"/>
      <c r="D146" s="29"/>
      <c r="E146" s="29" t="s">
        <v>407</v>
      </c>
      <c r="F146" s="29" t="s">
        <v>624</v>
      </c>
      <c r="G146" s="29" t="s">
        <v>626</v>
      </c>
      <c r="H146" s="29" t="s">
        <v>864</v>
      </c>
      <c r="I146" s="29" t="b">
        <v>0</v>
      </c>
      <c r="J146" s="29" t="s">
        <v>864</v>
      </c>
      <c r="K146" s="29"/>
      <c r="L146" s="29" t="b">
        <v>0</v>
      </c>
      <c r="M146" s="29" t="s">
        <v>333</v>
      </c>
      <c r="N146" s="29" t="str">
        <f>INDEX(PNGs!$J:J,MATCH($M146,PNGs!B:B,0))</f>
        <v>https://xmart-api-public.who.int/MNCAH/MCA_FACT_DATA_AGGREGATED?$filter=INDICATOR_FK%20in%20(%22AGE_YLD%22)%20and%20SEX_FK%20in%20(%22BTSX%22)</v>
      </c>
      <c r="O146" s="30" t="s">
        <v>564</v>
      </c>
      <c r="P146" s="31" t="s">
        <v>479</v>
      </c>
      <c r="Q146" s="31"/>
      <c r="R146" s="31"/>
      <c r="S146" s="29"/>
    </row>
    <row r="147" spans="1:19" s="15" customFormat="1" hidden="1" x14ac:dyDescent="0.3">
      <c r="A147" s="19">
        <v>139</v>
      </c>
      <c r="B147" s="21" t="s">
        <v>834</v>
      </c>
      <c r="C147" s="19" t="s">
        <v>867</v>
      </c>
      <c r="D147" s="19"/>
      <c r="E147" s="19" t="s">
        <v>408</v>
      </c>
      <c r="F147" s="19" t="s">
        <v>408</v>
      </c>
      <c r="G147" s="19" t="s">
        <v>410</v>
      </c>
      <c r="H147" s="19" t="s">
        <v>864</v>
      </c>
      <c r="I147" s="19" t="s">
        <v>864</v>
      </c>
      <c r="J147" s="19" t="s">
        <v>864</v>
      </c>
      <c r="K147" s="19"/>
      <c r="L147" s="19" t="s">
        <v>864</v>
      </c>
      <c r="M147" s="19" t="s">
        <v>864</v>
      </c>
      <c r="N147" s="19" t="e">
        <f>INDEX(PNGs!$J:J,MATCH($M147,PNGs!B:B,0))</f>
        <v>#N/A</v>
      </c>
      <c r="O147" s="22" t="s">
        <v>864</v>
      </c>
      <c r="P147" s="20" t="s">
        <v>864</v>
      </c>
      <c r="Q147" s="20" t="s">
        <v>864</v>
      </c>
      <c r="R147" s="20" t="s">
        <v>864</v>
      </c>
      <c r="S147" s="19"/>
    </row>
    <row r="148" spans="1:19" s="15" customFormat="1" ht="72" hidden="1" x14ac:dyDescent="0.3">
      <c r="A148" s="23">
        <v>140</v>
      </c>
      <c r="B148" s="23" t="s">
        <v>835</v>
      </c>
      <c r="C148" s="23"/>
      <c r="D148" s="23"/>
      <c r="E148" s="23" t="s">
        <v>408</v>
      </c>
      <c r="F148" s="23" t="s">
        <v>628</v>
      </c>
      <c r="G148" s="23" t="s">
        <v>629</v>
      </c>
      <c r="H148" s="21" t="s">
        <v>864</v>
      </c>
      <c r="I148" s="21" t="s">
        <v>864</v>
      </c>
      <c r="J148" s="21" t="b">
        <v>0</v>
      </c>
      <c r="K148" s="21"/>
      <c r="L148" s="21" t="b">
        <v>0</v>
      </c>
      <c r="M148" s="37" t="s">
        <v>630</v>
      </c>
      <c r="N148" s="21">
        <f>INDEX(PNGs!$J:J,MATCH($M148,PNGs!B:B,0))</f>
        <v>0</v>
      </c>
      <c r="O148" s="22" t="s">
        <v>631</v>
      </c>
      <c r="P148" s="26">
        <v>44544</v>
      </c>
      <c r="Q148" s="26"/>
      <c r="R148" s="26"/>
      <c r="S148" s="23" t="s">
        <v>635</v>
      </c>
    </row>
    <row r="149" spans="1:19" s="15" customFormat="1" ht="72" hidden="1" x14ac:dyDescent="0.3">
      <c r="A149" s="23">
        <v>141</v>
      </c>
      <c r="B149" s="23" t="s">
        <v>836</v>
      </c>
      <c r="C149" s="23"/>
      <c r="D149" s="23"/>
      <c r="E149" s="23" t="s">
        <v>408</v>
      </c>
      <c r="F149" s="23" t="s">
        <v>633</v>
      </c>
      <c r="G149" s="23" t="s">
        <v>629</v>
      </c>
      <c r="H149" s="21" t="s">
        <v>864</v>
      </c>
      <c r="I149" s="21" t="s">
        <v>864</v>
      </c>
      <c r="J149" s="21" t="b">
        <v>0</v>
      </c>
      <c r="K149" s="21"/>
      <c r="L149" s="21" t="b">
        <v>0</v>
      </c>
      <c r="M149" s="37" t="s">
        <v>630</v>
      </c>
      <c r="N149" s="21">
        <f>INDEX(PNGs!$J:J,MATCH($M149,PNGs!B:B,0))</f>
        <v>0</v>
      </c>
      <c r="O149" s="22" t="s">
        <v>631</v>
      </c>
      <c r="P149" s="26">
        <v>44544</v>
      </c>
      <c r="Q149" s="26"/>
      <c r="R149" s="26"/>
      <c r="S149" s="23" t="s">
        <v>635</v>
      </c>
    </row>
    <row r="150" spans="1:19" s="15" customFormat="1" ht="72" hidden="1" x14ac:dyDescent="0.3">
      <c r="A150" s="23">
        <v>142</v>
      </c>
      <c r="B150" s="23" t="s">
        <v>837</v>
      </c>
      <c r="C150" s="23"/>
      <c r="D150" s="23"/>
      <c r="E150" s="23" t="s">
        <v>408</v>
      </c>
      <c r="F150" s="23" t="s">
        <v>634</v>
      </c>
      <c r="G150" s="23" t="s">
        <v>629</v>
      </c>
      <c r="H150" s="21" t="s">
        <v>864</v>
      </c>
      <c r="I150" s="21" t="s">
        <v>864</v>
      </c>
      <c r="J150" s="21" t="b">
        <v>0</v>
      </c>
      <c r="K150" s="21"/>
      <c r="L150" s="21" t="b">
        <v>0</v>
      </c>
      <c r="M150" s="37" t="s">
        <v>630</v>
      </c>
      <c r="N150" s="21">
        <f>INDEX(PNGs!$J:J,MATCH($M150,PNGs!B:B,0))</f>
        <v>0</v>
      </c>
      <c r="O150" s="22" t="s">
        <v>631</v>
      </c>
      <c r="P150" s="26">
        <v>44544</v>
      </c>
      <c r="Q150" s="26"/>
      <c r="R150" s="26"/>
      <c r="S150" s="23" t="s">
        <v>635</v>
      </c>
    </row>
    <row r="151" spans="1:19" s="15" customFormat="1" ht="302.39999999999998" hidden="1" x14ac:dyDescent="0.3">
      <c r="A151" s="19">
        <v>143</v>
      </c>
      <c r="B151" s="19" t="s">
        <v>838</v>
      </c>
      <c r="C151" s="19"/>
      <c r="D151" s="19"/>
      <c r="E151" s="19" t="s">
        <v>408</v>
      </c>
      <c r="F151" s="19" t="s">
        <v>636</v>
      </c>
      <c r="G151" s="19" t="s">
        <v>637</v>
      </c>
      <c r="H151" s="21" t="s">
        <v>864</v>
      </c>
      <c r="I151" s="21" t="s">
        <v>864</v>
      </c>
      <c r="J151" s="19" t="s">
        <v>864</v>
      </c>
      <c r="K151" s="19"/>
      <c r="L151" s="19" t="b">
        <v>0</v>
      </c>
      <c r="M151" s="19" t="s">
        <v>306</v>
      </c>
      <c r="N151" s="19" t="str">
        <f>INDEX(PNGs!$J:J,MATCH($M151,PNGs!B:B,0))</f>
        <v xml:space="preserve">
https://xmart-api-public.who.int/MNCAH/MCA_FACT_DATA?$filter=INDICATOR_FK%20in%20(%22AGE_OVER60PCT%22,%22AGE_OVER80PCT%22,%22AGE_LE60%22,%22AGE_HALE60%22,%22AGE_MORT_TOP10%22,%22AGE_YLD%22,%22AGE_OBESITY%22,%22AGE_INSUFACT%22,%22AGE_RESIDE%22,%22AGE_LABOUR%22,%22AGE_RESIDELTA%22,%22AGE_FALL%22,%22AGE_BACKPAIN%22,%22AGE_AGEIST%22,%22AGE_ABUSE%22)&amp;$select=INDICATOR_FK,YEAR_FK,COUNTRY_FK,COUNTRY_FK__CODE,ValueString,ValueNumeric,ValueLow,ValueHigh,ValueStdDev,ValueStdErr,Comments,EffectiveDate,EndDate,Status,AGEGROUP_FK,AGEGROUP_FK__CODE,Answer_FK,CauseGHE_FK,CauseGHE_FK__CODE,CauseGHEChild_FK,CauseGHEChild_FK__CODE,CauseENVCAUSE_FK,CauseENVCAUSE_FK__CODE,DatasourceLong,DatasourceShort,ImpSan_FK,ImpWater_FK,LivingArrangements_FK,MEASDEF_FK,MOTHEREDUCATION_FK,ProficiencyLevel_FK,ResideLTA_FK,RESIDENCEAREA_FK,SABDefinition_FK,SEVERITY_FK,SEVERITYHEARING_FK,SEVERITYVISION_FK,SEX_FK,WEALTHQUINTILE_FK</v>
      </c>
      <c r="O151" s="22" t="s">
        <v>638</v>
      </c>
      <c r="P151" s="20"/>
      <c r="Q151" s="20"/>
      <c r="R151" s="20" t="s">
        <v>615</v>
      </c>
      <c r="S151" s="19" t="s">
        <v>632</v>
      </c>
    </row>
    <row r="152" spans="1:19" s="15" customFormat="1" hidden="1" x14ac:dyDescent="0.3">
      <c r="A152" s="19">
        <v>144</v>
      </c>
      <c r="B152" s="19" t="s">
        <v>839</v>
      </c>
      <c r="C152" s="19"/>
      <c r="D152" s="19"/>
      <c r="E152" s="19" t="s">
        <v>627</v>
      </c>
      <c r="F152" s="19" t="s">
        <v>627</v>
      </c>
      <c r="G152" s="19" t="s">
        <v>864</v>
      </c>
      <c r="H152" s="19" t="s">
        <v>864</v>
      </c>
      <c r="I152" s="19" t="s">
        <v>864</v>
      </c>
      <c r="J152" s="19" t="s">
        <v>864</v>
      </c>
      <c r="K152" s="19"/>
      <c r="L152" s="19" t="s">
        <v>864</v>
      </c>
      <c r="M152" s="19" t="s">
        <v>667</v>
      </c>
      <c r="N152" s="19">
        <f>INDEX(PNGs!$J:J,MATCH($M152,PNGs!B:B,0))</f>
        <v>0</v>
      </c>
      <c r="O152" s="22" t="s">
        <v>864</v>
      </c>
      <c r="P152" s="20" t="s">
        <v>864</v>
      </c>
      <c r="Q152" s="20" t="s">
        <v>864</v>
      </c>
      <c r="R152" s="20" t="s">
        <v>864</v>
      </c>
      <c r="S152" s="19"/>
    </row>
    <row r="153" spans="1:19" s="15" customFormat="1" ht="302.39999999999998" hidden="1" x14ac:dyDescent="0.3">
      <c r="A153" s="19">
        <v>145</v>
      </c>
      <c r="B153" s="19" t="s">
        <v>840</v>
      </c>
      <c r="C153" s="19"/>
      <c r="D153" s="19"/>
      <c r="E153" s="19" t="s">
        <v>627</v>
      </c>
      <c r="F153" s="19" t="s">
        <v>641</v>
      </c>
      <c r="G153" s="19" t="s">
        <v>642</v>
      </c>
      <c r="H153" s="19" t="s">
        <v>864</v>
      </c>
      <c r="I153" s="19" t="s">
        <v>864</v>
      </c>
      <c r="J153" s="19" t="s">
        <v>864</v>
      </c>
      <c r="K153" s="19"/>
      <c r="L153" s="19" t="b">
        <v>0</v>
      </c>
      <c r="M153" s="19" t="s">
        <v>312</v>
      </c>
      <c r="N153" s="19" t="str">
        <f>INDEX(PNGs!$J:J,MATCH($M153,PNGs!B:B,0))</f>
        <v xml:space="preserve">
https://xmart-api-public.who.int/MNCAH/MCA_FACT_DATA?$filter=INDICATOR_FK%20in%20(%22AGE_OVER60PCT%22,%22AGE_OVER80PCT%22,%22AGE_LE60%22,%22AGE_HALE60%22,%22AGE_MORT_TOP10%22,%22AGE_YLD%22,%22AGE_OBESITY%22,%22AGE_INSUFACT%22,%22AGE_RESIDE%22,%22AGE_LABOUR%22,%22AGE_RESIDELTA%22,%22AGE_FALL%22,%22AGE_BACKPAIN%22,%22AGE_AGEIST%22,%22AGE_ABUSE%22)&amp;$select=INDICATOR_FK,YEAR_FK,COUNTRY_FK,COUNTRY_FK__CODE,ValueString,ValueNumeric,ValueLow,ValueHigh,ValueStdDev,ValueStdErr,Comments,EffectiveDate,EndDate,Status,AGEGROUP_FK,AGEGROUP_FK__CODE,Answer_FK,CauseGHE_FK,CauseGHE_FK__CODE,CauseGHEChild_FK,CauseGHEChild_FK__CODE,CauseENVCAUSE_FK,CauseENVCAUSE_FK__CODE,DatasourceLong,DatasourceShort,ImpSan_FK,ImpWater_FK,LivingArrangements_FK,MEASDEF_FK,MOTHEREDUCATION_FK,ProficiencyLevel_FK,ResideLTA_FK,RESIDENCEAREA_FK,SABDefinition_FK,SEVERITY_FK,SEVERITYHEARING_FK,SEVERITYVISION_FK,SEX_FK,WEALTHQUINTILE_FK</v>
      </c>
      <c r="O153" s="22" t="s">
        <v>643</v>
      </c>
      <c r="P153" s="20" t="s">
        <v>587</v>
      </c>
      <c r="Q153" s="20"/>
      <c r="R153" s="20"/>
      <c r="S153" s="19"/>
    </row>
    <row r="154" spans="1:19" s="15" customFormat="1" ht="302.39999999999998" hidden="1" x14ac:dyDescent="0.3">
      <c r="A154" s="19">
        <v>146</v>
      </c>
      <c r="B154" s="19" t="s">
        <v>841</v>
      </c>
      <c r="C154" s="19"/>
      <c r="D154" s="19"/>
      <c r="E154" s="19" t="s">
        <v>627</v>
      </c>
      <c r="F154" s="19" t="s">
        <v>644</v>
      </c>
      <c r="G154" s="19" t="s">
        <v>642</v>
      </c>
      <c r="H154" s="19" t="s">
        <v>864</v>
      </c>
      <c r="I154" s="19" t="s">
        <v>864</v>
      </c>
      <c r="J154" s="19" t="s">
        <v>864</v>
      </c>
      <c r="K154" s="19"/>
      <c r="L154" s="19" t="b">
        <v>0</v>
      </c>
      <c r="M154" s="19" t="s">
        <v>313</v>
      </c>
      <c r="N154" s="19" t="str">
        <f>INDEX(PNGs!$J:J,MATCH($M154,PNGs!B:B,0))</f>
        <v xml:space="preserve">
https://xmart-api-public.who.int/MNCAH/MCA_FACT_DATA?$filter=INDICATOR_FK%20in%20(%22AGE_OVER60PCT%22,%22AGE_OVER80PCT%22,%22AGE_LE60%22,%22AGE_HALE60%22,%22AGE_MORT_TOP10%22,%22AGE_YLD%22,%22AGE_OBESITY%22,%22AGE_INSUFACT%22,%22AGE_RESIDE%22,%22AGE_LABOUR%22,%22AGE_RESIDELTA%22,%22AGE_FALL%22,%22AGE_BACKPAIN%22,%22AGE_AGEIST%22,%22AGE_ABUSE%22)&amp;$select=INDICATOR_FK,YEAR_FK,COUNTRY_FK,COUNTRY_FK__CODE,ValueString,ValueNumeric,ValueLow,ValueHigh,ValueStdDev,ValueStdErr,Comments,EffectiveDate,EndDate,Status,AGEGROUP_FK,AGEGROUP_FK__CODE,Answer_FK,CauseGHE_FK,CauseGHE_FK__CODE,CauseGHEChild_FK,CauseGHEChild_FK__CODE,CauseENVCAUSE_FK,CauseENVCAUSE_FK__CODE,DatasourceLong,DatasourceShort,ImpSan_FK,ImpWater_FK,LivingArrangements_FK,MEASDEF_FK,MOTHEREDUCATION_FK,ProficiencyLevel_FK,ResideLTA_FK,RESIDENCEAREA_FK,SABDefinition_FK,SEVERITY_FK,SEVERITYHEARING_FK,SEVERITYVISION_FK,SEX_FK,WEALTHQUINTILE_FK</v>
      </c>
      <c r="O154" s="22" t="s">
        <v>643</v>
      </c>
      <c r="P154" s="20" t="s">
        <v>587</v>
      </c>
      <c r="Q154" s="20"/>
      <c r="R154" s="20"/>
      <c r="S154" s="19"/>
    </row>
    <row r="155" spans="1:19" s="15" customFormat="1" ht="302.39999999999998" hidden="1" x14ac:dyDescent="0.3">
      <c r="A155" s="19">
        <v>147</v>
      </c>
      <c r="B155" s="19" t="s">
        <v>842</v>
      </c>
      <c r="C155" s="19"/>
      <c r="D155" s="19"/>
      <c r="E155" s="19" t="s">
        <v>627</v>
      </c>
      <c r="F155" s="19" t="s">
        <v>645</v>
      </c>
      <c r="G155" s="19" t="s">
        <v>646</v>
      </c>
      <c r="H155" s="19" t="s">
        <v>864</v>
      </c>
      <c r="I155" s="19" t="s">
        <v>864</v>
      </c>
      <c r="J155" s="19" t="s">
        <v>864</v>
      </c>
      <c r="K155" s="19"/>
      <c r="L155" s="19" t="b">
        <v>0</v>
      </c>
      <c r="M155" s="19" t="s">
        <v>314</v>
      </c>
      <c r="N155" s="19" t="str">
        <f>INDEX(PNGs!$J:J,MATCH($M155,PNGs!B:B,0))</f>
        <v xml:space="preserve">
https://xmart-api-public.who.int/MNCAH/MCA_FACT_DATA?$filter=INDICATOR_FK%20in%20(%22AGE_OVER60PCT%22,%22AGE_OVER80PCT%22,%22AGE_LE60%22,%22AGE_HALE60%22,%22AGE_MORT_TOP10%22,%22AGE_YLD%22,%22AGE_OBESITY%22,%22AGE_INSUFACT%22,%22AGE_RESIDE%22,%22AGE_LABOUR%22,%22AGE_RESIDELTA%22,%22AGE_FALL%22,%22AGE_BACKPAIN%22,%22AGE_AGEIST%22,%22AGE_ABUSE%22)&amp;$select=INDICATOR_FK,YEAR_FK,COUNTRY_FK,COUNTRY_FK__CODE,ValueString,ValueNumeric,ValueLow,ValueHigh,ValueStdDev,ValueStdErr,Comments,EffectiveDate,EndDate,Status,AGEGROUP_FK,AGEGROUP_FK__CODE,Answer_FK,CauseGHE_FK,CauseGHE_FK__CODE,CauseGHEChild_FK,CauseGHEChild_FK__CODE,CauseENVCAUSE_FK,CauseENVCAUSE_FK__CODE,DatasourceLong,DatasourceShort,ImpSan_FK,ImpWater_FK,LivingArrangements_FK,MEASDEF_FK,MOTHEREDUCATION_FK,ProficiencyLevel_FK,ResideLTA_FK,RESIDENCEAREA_FK,SABDefinition_FK,SEVERITY_FK,SEVERITYHEARING_FK,SEVERITYVISION_FK,SEX_FK,WEALTHQUINTILE_FK</v>
      </c>
      <c r="O155" s="22" t="s">
        <v>647</v>
      </c>
      <c r="P155" s="20" t="s">
        <v>615</v>
      </c>
      <c r="Q155" s="20"/>
      <c r="R155" s="20"/>
      <c r="S155" s="19" t="s">
        <v>648</v>
      </c>
    </row>
    <row r="156" spans="1:19" s="15" customFormat="1" ht="302.39999999999998" hidden="1" x14ac:dyDescent="0.3">
      <c r="A156" s="19">
        <v>148</v>
      </c>
      <c r="B156" s="19" t="s">
        <v>843</v>
      </c>
      <c r="C156" s="19"/>
      <c r="D156" s="19"/>
      <c r="E156" s="19" t="s">
        <v>627</v>
      </c>
      <c r="F156" s="19" t="s">
        <v>649</v>
      </c>
      <c r="G156" s="19" t="s">
        <v>650</v>
      </c>
      <c r="H156" s="19" t="s">
        <v>864</v>
      </c>
      <c r="I156" s="19" t="s">
        <v>864</v>
      </c>
      <c r="J156" s="19" t="s">
        <v>864</v>
      </c>
      <c r="K156" s="19"/>
      <c r="L156" s="19" t="b">
        <v>0</v>
      </c>
      <c r="M156" s="19" t="s">
        <v>315</v>
      </c>
      <c r="N156" s="19" t="str">
        <f>INDEX(PNGs!$J:J,MATCH($M156,PNGs!B:B,0))</f>
        <v xml:space="preserve">
https://xmart-api-public.who.int/MNCAH/MCA_FACT_DATA?$filter=INDICATOR_FK%20in%20(%22AGE_OVER60PCT%22,%22AGE_OVER80PCT%22,%22AGE_LE60%22,%22AGE_HALE60%22,%22AGE_MORT_TOP10%22,%22AGE_YLD%22,%22AGE_OBESITY%22,%22AGE_INSUFACT%22,%22AGE_RESIDE%22,%22AGE_LABOUR%22,%22AGE_RESIDELTA%22,%22AGE_FALL%22,%22AGE_BACKPAIN%22,%22AGE_AGEIST%22,%22AGE_ABUSE%22)&amp;$select=INDICATOR_FK,YEAR_FK,COUNTRY_FK,COUNTRY_FK__CODE,ValueString,ValueNumeric,ValueLow,ValueHigh,ValueStdDev,ValueStdErr,Comments,EffectiveDate,EndDate,Status,AGEGROUP_FK,AGEGROUP_FK__CODE,Answer_FK,CauseGHE_FK,CauseGHE_FK__CODE,CauseGHEChild_FK,CauseGHEChild_FK__CODE,CauseENVCAUSE_FK,CauseENVCAUSE_FK__CODE,DatasourceLong,DatasourceShort,ImpSan_FK,ImpWater_FK,LivingArrangements_FK,MEASDEF_FK,MOTHEREDUCATION_FK,ProficiencyLevel_FK,ResideLTA_FK,RESIDENCEAREA_FK,SABDefinition_FK,SEVERITY_FK,SEVERITYHEARING_FK,SEVERITYVISION_FK,SEX_FK,WEALTHQUINTILE_FK</v>
      </c>
      <c r="O156" s="22" t="s">
        <v>647</v>
      </c>
      <c r="P156" s="20" t="s">
        <v>615</v>
      </c>
      <c r="Q156" s="20"/>
      <c r="R156" s="20"/>
      <c r="S156" s="19" t="s">
        <v>648</v>
      </c>
    </row>
    <row r="157" spans="1:19" s="15" customFormat="1" ht="302.39999999999998" hidden="1" x14ac:dyDescent="0.3">
      <c r="A157" s="19">
        <v>149</v>
      </c>
      <c r="B157" s="19" t="s">
        <v>844</v>
      </c>
      <c r="C157" s="19"/>
      <c r="D157" s="19"/>
      <c r="E157" s="19" t="s">
        <v>627</v>
      </c>
      <c r="F157" s="19" t="s">
        <v>651</v>
      </c>
      <c r="G157" s="19" t="s">
        <v>652</v>
      </c>
      <c r="H157" s="19" t="s">
        <v>864</v>
      </c>
      <c r="I157" s="19" t="s">
        <v>864</v>
      </c>
      <c r="J157" s="19" t="s">
        <v>864</v>
      </c>
      <c r="K157" s="19"/>
      <c r="L157" s="19" t="b">
        <v>0</v>
      </c>
      <c r="M157" s="19" t="s">
        <v>316</v>
      </c>
      <c r="N157" s="19" t="str">
        <f>INDEX(PNGs!$J:J,MATCH($M157,PNGs!B:B,0))</f>
        <v xml:space="preserve">
https://xmart-api-public.who.int/MNCAH/MCA_FACT_DATA?$filter=INDICATOR_FK%20in%20(%22AGE_OVER60PCT%22,%22AGE_OVER80PCT%22,%22AGE_LE60%22,%22AGE_HALE60%22,%22AGE_MORT_TOP10%22,%22AGE_YLD%22,%22AGE_OBESITY%22,%22AGE_INSUFACT%22,%22AGE_RESIDE%22,%22AGE_LABOUR%22,%22AGE_RESIDELTA%22,%22AGE_FALL%22,%22AGE_BACKPAIN%22,%22AGE_AGEIST%22,%22AGE_ABUSE%22)&amp;$select=INDICATOR_FK,YEAR_FK,COUNTRY_FK,COUNTRY_FK__CODE,ValueString,ValueNumeric,ValueLow,ValueHigh,ValueStdDev,ValueStdErr,Comments,EffectiveDate,EndDate,Status,AGEGROUP_FK,AGEGROUP_FK__CODE,Answer_FK,CauseGHE_FK,CauseGHE_FK__CODE,CauseGHEChild_FK,CauseGHEChild_FK__CODE,CauseENVCAUSE_FK,CauseENVCAUSE_FK__CODE,DatasourceLong,DatasourceShort,ImpSan_FK,ImpWater_FK,LivingArrangements_FK,MEASDEF_FK,MOTHEREDUCATION_FK,ProficiencyLevel_FK,ResideLTA_FK,RESIDENCEAREA_FK,SABDefinition_FK,SEVERITY_FK,SEVERITYHEARING_FK,SEVERITYVISION_FK,SEX_FK,WEALTHQUINTILE_FK</v>
      </c>
      <c r="O157" s="22" t="s">
        <v>653</v>
      </c>
      <c r="P157" s="20" t="s">
        <v>615</v>
      </c>
      <c r="Q157" s="20"/>
      <c r="R157" s="20"/>
      <c r="S157" s="19" t="s">
        <v>654</v>
      </c>
    </row>
    <row r="158" spans="1:19" s="15" customFormat="1" ht="302.39999999999998" hidden="1" x14ac:dyDescent="0.3">
      <c r="A158" s="19">
        <v>150</v>
      </c>
      <c r="B158" s="19" t="s">
        <v>845</v>
      </c>
      <c r="C158" s="19"/>
      <c r="D158" s="19"/>
      <c r="E158" s="19" t="s">
        <v>627</v>
      </c>
      <c r="F158" s="19" t="s">
        <v>655</v>
      </c>
      <c r="G158" s="19" t="s">
        <v>656</v>
      </c>
      <c r="H158" s="19" t="s">
        <v>864</v>
      </c>
      <c r="I158" s="19" t="s">
        <v>864</v>
      </c>
      <c r="J158" s="19" t="s">
        <v>864</v>
      </c>
      <c r="K158" s="19"/>
      <c r="L158" s="19" t="b">
        <v>0</v>
      </c>
      <c r="M158" s="19" t="s">
        <v>317</v>
      </c>
      <c r="N158" s="19" t="str">
        <f>INDEX(PNGs!$J:J,MATCH($M158,PNGs!B:B,0))</f>
        <v xml:space="preserve">
https://xmart-api-public.who.int/MNCAH/MCA_FACT_DATA?$filter=INDICATOR_FK%20in%20(%22AGE_OVER60PCT%22,%22AGE_OVER80PCT%22,%22AGE_LE60%22,%22AGE_HALE60%22,%22AGE_MORT_TOP10%22,%22AGE_YLD%22,%22AGE_OBESITY%22,%22AGE_INSUFACT%22,%22AGE_RESIDE%22,%22AGE_LABOUR%22,%22AGE_RESIDELTA%22,%22AGE_FALL%22,%22AGE_BACKPAIN%22,%22AGE_AGEIST%22,%22AGE_ABUSE%22)&amp;$select=INDICATOR_FK,YEAR_FK,COUNTRY_FK,COUNTRY_FK__CODE,ValueString,ValueNumeric,ValueLow,ValueHigh,ValueStdDev,ValueStdErr,Comments,EffectiveDate,EndDate,Status,AGEGROUP_FK,AGEGROUP_FK__CODE,Answer_FK,CauseGHE_FK,CauseGHE_FK__CODE,CauseGHEChild_FK,CauseGHEChild_FK__CODE,CauseENVCAUSE_FK,CauseENVCAUSE_FK__CODE,DatasourceLong,DatasourceShort,ImpSan_FK,ImpWater_FK,LivingArrangements_FK,MEASDEF_FK,MOTHEREDUCATION_FK,ProficiencyLevel_FK,ResideLTA_FK,RESIDENCEAREA_FK,SABDefinition_FK,SEVERITY_FK,SEVERITYHEARING_FK,SEVERITYVISION_FK,SEX_FK,WEALTHQUINTILE_FK</v>
      </c>
      <c r="O158" s="22" t="s">
        <v>657</v>
      </c>
      <c r="P158" s="20" t="s">
        <v>615</v>
      </c>
      <c r="Q158" s="20"/>
      <c r="R158" s="20"/>
      <c r="S158" s="19" t="s">
        <v>658</v>
      </c>
    </row>
    <row r="159" spans="1:19" s="15" customFormat="1" ht="57.6" hidden="1" x14ac:dyDescent="0.3">
      <c r="A159" s="19">
        <v>151</v>
      </c>
      <c r="B159" s="19" t="s">
        <v>846</v>
      </c>
      <c r="C159" s="19"/>
      <c r="D159" s="19"/>
      <c r="E159" s="19" t="s">
        <v>627</v>
      </c>
      <c r="F159" s="19" t="s">
        <v>659</v>
      </c>
      <c r="G159" s="19" t="s">
        <v>660</v>
      </c>
      <c r="H159" s="19" t="s">
        <v>864</v>
      </c>
      <c r="I159" s="19" t="s">
        <v>864</v>
      </c>
      <c r="J159" s="19" t="s">
        <v>864</v>
      </c>
      <c r="K159" s="19"/>
      <c r="L159" s="19" t="b">
        <v>0</v>
      </c>
      <c r="M159" s="19" t="s">
        <v>320</v>
      </c>
      <c r="N159" s="19" t="str">
        <f>INDEX(PNGs!$J:J,MATCH($M159,PNGs!B:B,0))</f>
        <v>undesa_pd_2022_living-arrangements-older-persons.csv</v>
      </c>
      <c r="O159" s="27" t="s">
        <v>661</v>
      </c>
      <c r="P159" s="20" t="s">
        <v>490</v>
      </c>
      <c r="Q159" s="20"/>
      <c r="R159" s="20"/>
      <c r="S159" s="19" t="s">
        <v>662</v>
      </c>
    </row>
    <row r="160" spans="1:19" s="15" customFormat="1" ht="57.6" hidden="1" x14ac:dyDescent="0.3">
      <c r="A160" s="19">
        <v>152</v>
      </c>
      <c r="B160" s="19" t="s">
        <v>847</v>
      </c>
      <c r="C160" s="19"/>
      <c r="D160" s="19"/>
      <c r="E160" s="19" t="s">
        <v>627</v>
      </c>
      <c r="F160" s="19" t="s">
        <v>663</v>
      </c>
      <c r="G160" s="19" t="s">
        <v>660</v>
      </c>
      <c r="H160" s="19" t="s">
        <v>864</v>
      </c>
      <c r="I160" s="19" t="s">
        <v>864</v>
      </c>
      <c r="J160" s="19" t="s">
        <v>864</v>
      </c>
      <c r="K160" s="19"/>
      <c r="L160" s="19" t="b">
        <v>0</v>
      </c>
      <c r="M160" s="19" t="s">
        <v>322</v>
      </c>
      <c r="N160" s="19" t="str">
        <f>INDEX(PNGs!$J:J,MATCH($M160,PNGs!B:B,0))</f>
        <v>undesa_pd_2022_living-arrangements-older-persons.csv</v>
      </c>
      <c r="O160" s="27" t="s">
        <v>661</v>
      </c>
      <c r="P160" s="20" t="s">
        <v>490</v>
      </c>
      <c r="Q160" s="20"/>
      <c r="R160" s="20"/>
      <c r="S160" s="19" t="s">
        <v>662</v>
      </c>
    </row>
    <row r="161" spans="1:19" s="15" customFormat="1" ht="57.6" hidden="1" x14ac:dyDescent="0.3">
      <c r="A161" s="19">
        <v>153</v>
      </c>
      <c r="B161" s="19" t="s">
        <v>848</v>
      </c>
      <c r="C161" s="19"/>
      <c r="D161" s="19"/>
      <c r="E161" s="19" t="s">
        <v>627</v>
      </c>
      <c r="F161" s="19" t="s">
        <v>663</v>
      </c>
      <c r="G161" s="19" t="s">
        <v>660</v>
      </c>
      <c r="H161" s="19" t="s">
        <v>864</v>
      </c>
      <c r="I161" s="19" t="s">
        <v>864</v>
      </c>
      <c r="J161" s="19" t="s">
        <v>864</v>
      </c>
      <c r="K161" s="19"/>
      <c r="L161" s="19" t="b">
        <v>0</v>
      </c>
      <c r="M161" s="19" t="s">
        <v>323</v>
      </c>
      <c r="N161" s="19" t="str">
        <f>INDEX(PNGs!$J:J,MATCH($M161,PNGs!B:B,0))</f>
        <v>undesa_pd_2022_living-arrangements-older-persons.csv</v>
      </c>
      <c r="O161" s="27" t="s">
        <v>661</v>
      </c>
      <c r="P161" s="20" t="s">
        <v>490</v>
      </c>
      <c r="Q161" s="20"/>
      <c r="R161" s="20"/>
      <c r="S161" s="19" t="s">
        <v>662</v>
      </c>
    </row>
    <row r="162" spans="1:19" s="15" customFormat="1" ht="302.39999999999998" hidden="1" x14ac:dyDescent="0.3">
      <c r="A162" s="19">
        <v>154</v>
      </c>
      <c r="B162" s="19" t="s">
        <v>849</v>
      </c>
      <c r="C162" s="19"/>
      <c r="D162" s="19"/>
      <c r="E162" s="19" t="s">
        <v>627</v>
      </c>
      <c r="F162" s="19" t="s">
        <v>664</v>
      </c>
      <c r="G162" s="19" t="s">
        <v>665</v>
      </c>
      <c r="H162" s="19" t="s">
        <v>864</v>
      </c>
      <c r="I162" s="19" t="s">
        <v>864</v>
      </c>
      <c r="J162" s="19" t="s">
        <v>864</v>
      </c>
      <c r="K162" s="19"/>
      <c r="L162" s="19" t="b">
        <v>0</v>
      </c>
      <c r="M162" s="19" t="s">
        <v>310</v>
      </c>
      <c r="N162" s="19" t="str">
        <f>INDEX(PNGs!$J:J,MATCH($M162,PNGs!B:B,0))</f>
        <v xml:space="preserve">
https://xmart-api-public.who.int/MNCAH/MCA_FACT_DATA?$filter=INDICATOR_FK%20in%20(%22AGE_OVER60PCT%22,%22AGE_OVER80PCT%22,%22AGE_LE60%22,%22AGE_HALE60%22,%22AGE_MORT_TOP10%22,%22AGE_YLD%22,%22AGE_OBESITY%22,%22AGE_INSUFACT%22,%22AGE_RESIDE%22,%22AGE_LABOUR%22,%22AGE_RESIDELTA%22,%22AGE_FALL%22,%22AGE_BACKPAIN%22,%22AGE_AGEIST%22,%22AGE_ABUSE%22)&amp;$select=INDICATOR_FK,YEAR_FK,COUNTRY_FK,COUNTRY_FK__CODE,ValueString,ValueNumeric,ValueLow,ValueHigh,ValueStdDev,ValueStdErr,Comments,EffectiveDate,EndDate,Status,AGEGROUP_FK,AGEGROUP_FK__CODE,Answer_FK,CauseGHE_FK,CauseGHE_FK__CODE,CauseGHEChild_FK,CauseGHEChild_FK__CODE,CauseENVCAUSE_FK,CauseENVCAUSE_FK__CODE,DatasourceLong,DatasourceShort,ImpSan_FK,ImpWater_FK,LivingArrangements_FK,MEASDEF_FK,MOTHEREDUCATION_FK,ProficiencyLevel_FK,ResideLTA_FK,RESIDENCEAREA_FK,SABDefinition_FK,SEVERITY_FK,SEVERITYHEARING_FK,SEVERITYVISION_FK,SEX_FK,WEALTHQUINTILE_FK</v>
      </c>
      <c r="O162" s="22" t="s">
        <v>666</v>
      </c>
      <c r="P162" s="20" t="s">
        <v>479</v>
      </c>
      <c r="Q162" s="20"/>
      <c r="R162" s="20"/>
      <c r="S162" s="19"/>
    </row>
    <row r="163" spans="1:19" x14ac:dyDescent="0.3">
      <c r="O163" s="21"/>
    </row>
    <row r="164" spans="1:19" x14ac:dyDescent="0.3">
      <c r="O164" s="21"/>
    </row>
    <row r="165" spans="1:19" x14ac:dyDescent="0.3">
      <c r="O165" s="21"/>
    </row>
    <row r="166" spans="1:19" x14ac:dyDescent="0.3">
      <c r="O166" s="21"/>
    </row>
    <row r="167" spans="1:19" x14ac:dyDescent="0.3">
      <c r="O167" s="21"/>
    </row>
    <row r="168" spans="1:19" x14ac:dyDescent="0.3">
      <c r="O168" s="21"/>
    </row>
    <row r="169" spans="1:19" x14ac:dyDescent="0.3">
      <c r="O169" s="21"/>
    </row>
    <row r="170" spans="1:19" x14ac:dyDescent="0.3">
      <c r="O170" s="21"/>
    </row>
    <row r="171" spans="1:19" x14ac:dyDescent="0.3">
      <c r="O171" s="21"/>
    </row>
    <row r="172" spans="1:19" x14ac:dyDescent="0.3">
      <c r="O172" s="21"/>
    </row>
    <row r="173" spans="1:19" x14ac:dyDescent="0.3">
      <c r="O173" s="21"/>
    </row>
    <row r="174" spans="1:19" x14ac:dyDescent="0.3">
      <c r="O174" s="21"/>
    </row>
  </sheetData>
  <autoFilter ref="A1:S162" xr:uid="{3D708168-BE38-435A-A8CB-B32F891C5DF1}">
    <filterColumn colId="1">
      <filters>
        <filter val="NEW-MORTALITY-GLOBAL-COD_NEO-VERTSTACK-PIE"/>
      </filters>
    </filterColumn>
  </autoFilter>
  <phoneticPr fontId="2" type="noConversion"/>
  <conditionalFormatting sqref="M1:M1048576">
    <cfRule type="duplicateValues" dxfId="4" priority="1"/>
  </conditionalFormatting>
  <hyperlinks>
    <hyperlink ref="N91" r:id="rId1" xr:uid="{1F814962-AFE1-4B3F-A017-B4189D0D00ED}"/>
    <hyperlink ref="N92" r:id="rId2" xr:uid="{829E2912-087F-4AAC-884B-ACBE3E334EA7}"/>
    <hyperlink ref="N93" r:id="rId3" xr:uid="{09B93088-BAAA-4DBD-B368-6C0A1CE0BCEC}"/>
    <hyperlink ref="N96" r:id="rId4" xr:uid="{296E0F0B-3DA8-49FE-A7AE-94B863A100AF}"/>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4F0BEF1A-D33C-4290-9730-EDA221A78A63}">
          <x14:formula1>
            <xm:f>PNGs!$B$2:$B$976</xm:f>
          </x14:formula1>
          <xm:sqref>M151:M1048576 M132:M146 M115:M121 M108:M113 M104:M106 M71:M96 M22:M49 M14:M20 M10:M12 M123:M129 M98:M102 M4:M8 M60:M69 M57 M52:M54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27484-F81D-4EB7-8D76-CF185358D125}">
  <dimension ref="A1:N74"/>
  <sheetViews>
    <sheetView zoomScale="85" zoomScaleNormal="85" workbookViewId="0">
      <pane xSplit="3" ySplit="1" topLeftCell="D2" activePane="bottomRight" state="frozen"/>
      <selection pane="topRight" activeCell="D1" sqref="D1"/>
      <selection pane="bottomLeft" activeCell="A2" sqref="A2"/>
      <selection pane="bottomRight" activeCell="D3" sqref="D3"/>
    </sheetView>
  </sheetViews>
  <sheetFormatPr defaultColWidth="8.88671875" defaultRowHeight="14.4" x14ac:dyDescent="0.3"/>
  <cols>
    <col min="1" max="1" width="9.109375" style="1" bestFit="1" customWidth="1"/>
    <col min="2" max="2" width="9.88671875" style="1" customWidth="1"/>
    <col min="3" max="3" width="52.44140625" style="1" bestFit="1" customWidth="1"/>
    <col min="4" max="4" width="39" style="1" bestFit="1" customWidth="1"/>
    <col min="5" max="5" width="19.44140625" style="1" bestFit="1" customWidth="1"/>
    <col min="6" max="6" width="18.33203125" style="1" bestFit="1" customWidth="1"/>
    <col min="7" max="7" width="23.5546875" style="1" bestFit="1" customWidth="1"/>
    <col min="8" max="8" width="43.6640625" style="1" customWidth="1"/>
    <col min="9" max="9" width="19.44140625" style="1" customWidth="1"/>
    <col min="10" max="10" width="19.44140625" style="5" customWidth="1"/>
    <col min="11" max="11" width="50.109375" style="1" bestFit="1" customWidth="1"/>
    <col min="12" max="13" width="50.109375" style="5" customWidth="1"/>
    <col min="14" max="14" width="120.6640625" style="1" bestFit="1" customWidth="1"/>
    <col min="15" max="16384" width="8.88671875" style="1"/>
  </cols>
  <sheetData>
    <row r="1" spans="1:14" ht="28.8" x14ac:dyDescent="0.3">
      <c r="A1" s="1" t="s">
        <v>33</v>
      </c>
      <c r="B1" s="1" t="s">
        <v>96</v>
      </c>
      <c r="C1" s="1" t="s">
        <v>386</v>
      </c>
      <c r="D1" s="1" t="s">
        <v>384</v>
      </c>
      <c r="E1" s="1" t="s">
        <v>47</v>
      </c>
      <c r="F1" s="1" t="s">
        <v>63</v>
      </c>
      <c r="G1" s="1" t="s">
        <v>192</v>
      </c>
      <c r="H1" s="1" t="s">
        <v>422</v>
      </c>
      <c r="I1" s="1" t="s">
        <v>673</v>
      </c>
      <c r="J1" s="5" t="s">
        <v>674</v>
      </c>
      <c r="K1" s="1" t="s">
        <v>387</v>
      </c>
      <c r="L1" s="5" t="s">
        <v>850</v>
      </c>
      <c r="M1" s="5" t="s">
        <v>427</v>
      </c>
      <c r="N1" s="1" t="s">
        <v>20</v>
      </c>
    </row>
    <row r="2" spans="1:14" s="5" customFormat="1" ht="129.6" x14ac:dyDescent="0.3">
      <c r="A2" s="5" t="s">
        <v>41</v>
      </c>
      <c r="B2" s="5">
        <v>29.1</v>
      </c>
      <c r="C2" s="5" t="s">
        <v>85</v>
      </c>
      <c r="D2" s="5" t="s">
        <v>55</v>
      </c>
      <c r="E2" s="5" t="b">
        <v>1</v>
      </c>
      <c r="F2" s="5" t="b">
        <v>1</v>
      </c>
      <c r="G2" s="5" t="s">
        <v>11</v>
      </c>
      <c r="H2" s="5" t="s">
        <v>383</v>
      </c>
      <c r="J2" s="5" t="b">
        <f>IF(OR(IF(ISERROR(VLOOKUP($C2,PNGs!J:J,1,FALSE)),FALSE,TRUE),IF(ISERROR(VLOOKUP($C2,PNGs!K:K,1,FALSE)),FALSE,TRUE),IF(ISERROR(VLOOKUP($C2,PNGs!L:L,1,FALSE)),FALSE,TRUE)), TRUE,FALSE)</f>
        <v>1</v>
      </c>
      <c r="K2" s="5" t="s">
        <v>159</v>
      </c>
      <c r="L2" s="5" t="s">
        <v>851</v>
      </c>
      <c r="N2" s="5" t="s">
        <v>394</v>
      </c>
    </row>
    <row r="3" spans="1:14" ht="201.6" x14ac:dyDescent="0.3">
      <c r="A3" s="5" t="s">
        <v>41</v>
      </c>
      <c r="B3" s="1">
        <v>29.2</v>
      </c>
      <c r="C3" s="5" t="s">
        <v>86</v>
      </c>
      <c r="D3" s="5" t="s">
        <v>55</v>
      </c>
      <c r="E3" s="5" t="b">
        <v>1</v>
      </c>
      <c r="F3" s="1" t="b">
        <v>1</v>
      </c>
      <c r="G3" s="1" t="s">
        <v>11</v>
      </c>
      <c r="H3" s="1" t="s">
        <v>383</v>
      </c>
      <c r="I3" s="5" t="b">
        <v>1</v>
      </c>
      <c r="J3" s="5" t="b">
        <f>IF(OR(IF(ISERROR(VLOOKUP($C3,PNGs!J:J,1,FALSE)),FALSE,TRUE),IF(ISERROR(VLOOKUP($C3,PNGs!K:K,1,FALSE)),FALSE,TRUE),IF(ISERROR(VLOOKUP($C3,PNGs!L:L,1,FALSE)),FALSE,TRUE)), TRUE,FALSE)</f>
        <v>1</v>
      </c>
      <c r="K3" s="5" t="s">
        <v>159</v>
      </c>
      <c r="L3" s="5" t="s">
        <v>851</v>
      </c>
      <c r="N3" s="1" t="s">
        <v>395</v>
      </c>
    </row>
    <row r="4" spans="1:14" ht="28.8" x14ac:dyDescent="0.3">
      <c r="A4" s="1" t="s">
        <v>41</v>
      </c>
      <c r="B4" s="1">
        <v>29.5</v>
      </c>
      <c r="C4" s="5" t="s">
        <v>89</v>
      </c>
      <c r="D4" s="1" t="s">
        <v>55</v>
      </c>
      <c r="E4" s="1" t="b">
        <v>1</v>
      </c>
      <c r="F4" s="1" t="b">
        <v>1</v>
      </c>
      <c r="G4" s="5" t="s">
        <v>11</v>
      </c>
      <c r="H4" s="1" t="s">
        <v>383</v>
      </c>
      <c r="I4" s="1" t="b">
        <v>1</v>
      </c>
      <c r="J4" s="5" t="b">
        <f>IF(OR(IF(ISERROR(VLOOKUP($C4,PNGs!J:J,1,FALSE)),FALSE,TRUE),IF(ISERROR(VLOOKUP($C4,PNGs!K:K,1,FALSE)),FALSE,TRUE),IF(ISERROR(VLOOKUP($C4,PNGs!L:L,1,FALSE)),FALSE,TRUE)), TRUE,FALSE)</f>
        <v>1</v>
      </c>
      <c r="K4" s="5" t="s">
        <v>160</v>
      </c>
      <c r="L4" s="5" t="s">
        <v>851</v>
      </c>
      <c r="N4" s="1" t="s">
        <v>167</v>
      </c>
    </row>
    <row r="5" spans="1:14" ht="72" x14ac:dyDescent="0.3">
      <c r="A5" s="1" t="s">
        <v>41</v>
      </c>
      <c r="B5" s="1">
        <v>29.6</v>
      </c>
      <c r="C5" s="1" t="s">
        <v>90</v>
      </c>
      <c r="D5" s="1" t="s">
        <v>55</v>
      </c>
      <c r="E5" s="1" t="b">
        <v>1</v>
      </c>
      <c r="F5" s="1" t="b">
        <v>1</v>
      </c>
      <c r="G5" s="5" t="s">
        <v>11</v>
      </c>
      <c r="H5" s="1" t="s">
        <v>383</v>
      </c>
      <c r="I5" s="1" t="b">
        <v>1</v>
      </c>
      <c r="J5" s="5" t="b">
        <f>IF(OR(IF(ISERROR(VLOOKUP($C5,PNGs!J:J,1,FALSE)),FALSE,TRUE),IF(ISERROR(VLOOKUP($C5,PNGs!K:K,1,FALSE)),FALSE,TRUE),IF(ISERROR(VLOOKUP($C5,PNGs!L:L,1,FALSE)),FALSE,TRUE)), TRUE,FALSE)</f>
        <v>1</v>
      </c>
      <c r="K5" s="1" t="s">
        <v>160</v>
      </c>
      <c r="L5" s="5" t="s">
        <v>851</v>
      </c>
      <c r="N5" s="1" t="s">
        <v>396</v>
      </c>
    </row>
    <row r="6" spans="1:14" ht="49.8" customHeight="1" x14ac:dyDescent="0.3">
      <c r="A6" s="9" t="s">
        <v>48</v>
      </c>
      <c r="B6" s="5">
        <v>0.99</v>
      </c>
      <c r="C6" s="11" t="s">
        <v>608</v>
      </c>
      <c r="D6" s="11" t="s">
        <v>606</v>
      </c>
      <c r="E6" s="11" t="b">
        <v>1</v>
      </c>
      <c r="F6" s="1" t="b">
        <v>1</v>
      </c>
      <c r="G6" s="5" t="s">
        <v>11</v>
      </c>
      <c r="H6" s="1" t="s">
        <v>199</v>
      </c>
      <c r="I6" s="9" t="s">
        <v>607</v>
      </c>
      <c r="J6" s="9" t="s">
        <v>607</v>
      </c>
      <c r="K6" s="5" t="s">
        <v>46</v>
      </c>
      <c r="L6" s="5" t="s">
        <v>852</v>
      </c>
      <c r="N6" s="5"/>
    </row>
    <row r="7" spans="1:14" ht="100.8" x14ac:dyDescent="0.3">
      <c r="A7" s="1" t="s">
        <v>41</v>
      </c>
      <c r="B7" s="1">
        <v>28.99</v>
      </c>
      <c r="C7" s="1" t="s">
        <v>35</v>
      </c>
      <c r="D7" s="1" t="s">
        <v>55</v>
      </c>
      <c r="E7" s="11" t="b">
        <v>1</v>
      </c>
      <c r="F7" s="1" t="b">
        <v>1</v>
      </c>
      <c r="G7" s="5" t="s">
        <v>11</v>
      </c>
      <c r="H7" s="1" t="s">
        <v>382</v>
      </c>
      <c r="I7" s="1" t="b">
        <v>1</v>
      </c>
      <c r="J7" s="5" t="b">
        <f>IF(OR(IF(ISERROR(VLOOKUP($C7,PNGs!J:J,1,FALSE)),FALSE,TRUE),IF(ISERROR(VLOOKUP($C7,PNGs!K:K,1,FALSE)),FALSE,TRUE),IF(ISERROR(VLOOKUP($C7,PNGs!L:L,1,FALSE)),FALSE,TRUE)), TRUE,FALSE)</f>
        <v>1</v>
      </c>
      <c r="K7" s="5" t="s">
        <v>399</v>
      </c>
      <c r="L7" s="5" t="s">
        <v>852</v>
      </c>
      <c r="N7" s="1" t="s">
        <v>672</v>
      </c>
    </row>
    <row r="8" spans="1:14" ht="43.2" x14ac:dyDescent="0.3">
      <c r="A8" s="5" t="s">
        <v>41</v>
      </c>
      <c r="B8" s="1">
        <v>4</v>
      </c>
      <c r="C8" s="5" t="s">
        <v>49</v>
      </c>
      <c r="D8" s="1" t="s">
        <v>42</v>
      </c>
      <c r="E8" s="5" t="b">
        <v>1</v>
      </c>
      <c r="F8" s="1" t="b">
        <v>1</v>
      </c>
      <c r="G8" s="5" t="s">
        <v>11</v>
      </c>
      <c r="H8" s="1" t="s">
        <v>205</v>
      </c>
      <c r="I8" s="1" t="b">
        <v>1</v>
      </c>
      <c r="J8" s="5" t="b">
        <f>IF(OR(IF(ISERROR(VLOOKUP($C8,PNGs!J:J,1,FALSE)),FALSE,TRUE),IF(ISERROR(VLOOKUP($C8,PNGs!K:K,1,FALSE)),FALSE,TRUE),IF(ISERROR(VLOOKUP($C8,PNGs!L:L,1,FALSE)),FALSE,TRUE)), TRUE,FALSE)</f>
        <v>1</v>
      </c>
      <c r="K8" s="2" t="s">
        <v>50</v>
      </c>
      <c r="L8" s="2" t="s">
        <v>134</v>
      </c>
      <c r="M8" s="2"/>
      <c r="N8" s="5"/>
    </row>
    <row r="9" spans="1:14" x14ac:dyDescent="0.3">
      <c r="A9" s="9" t="s">
        <v>48</v>
      </c>
      <c r="B9" s="1">
        <v>17.989999999999998</v>
      </c>
      <c r="C9" s="11" t="s">
        <v>610</v>
      </c>
      <c r="D9" s="11" t="s">
        <v>606</v>
      </c>
      <c r="E9" s="11" t="b">
        <v>1</v>
      </c>
      <c r="F9" s="1" t="b">
        <v>1</v>
      </c>
      <c r="G9" s="5" t="s">
        <v>11</v>
      </c>
      <c r="H9" s="1" t="s">
        <v>355</v>
      </c>
      <c r="I9" s="9" t="s">
        <v>607</v>
      </c>
      <c r="J9" s="9" t="s">
        <v>607</v>
      </c>
      <c r="K9" s="5" t="s">
        <v>115</v>
      </c>
      <c r="L9" s="5" t="s">
        <v>116</v>
      </c>
      <c r="N9" s="5"/>
    </row>
    <row r="10" spans="1:14" x14ac:dyDescent="0.3">
      <c r="A10" s="5" t="s">
        <v>41</v>
      </c>
      <c r="B10" s="1">
        <v>1</v>
      </c>
      <c r="C10" s="2" t="s">
        <v>40</v>
      </c>
      <c r="D10" s="1" t="s">
        <v>37</v>
      </c>
      <c r="E10" s="5" t="s">
        <v>37</v>
      </c>
      <c r="F10" s="1" t="b">
        <v>1</v>
      </c>
      <c r="G10" s="5" t="s">
        <v>11</v>
      </c>
      <c r="H10" s="1" t="s">
        <v>418</v>
      </c>
      <c r="I10" s="5" t="s">
        <v>37</v>
      </c>
      <c r="J10" s="5" t="b">
        <v>1</v>
      </c>
      <c r="K10" s="2" t="s">
        <v>40</v>
      </c>
      <c r="L10" s="2" t="s">
        <v>40</v>
      </c>
      <c r="M10" s="2"/>
      <c r="N10" s="5"/>
    </row>
    <row r="11" spans="1:14" ht="28.8" x14ac:dyDescent="0.3">
      <c r="A11" s="5" t="s">
        <v>41</v>
      </c>
      <c r="B11" s="1">
        <v>6</v>
      </c>
      <c r="C11" s="5" t="s">
        <v>56</v>
      </c>
      <c r="D11" s="1" t="s">
        <v>55</v>
      </c>
      <c r="E11" s="5" t="b">
        <v>1</v>
      </c>
      <c r="F11" s="1" t="b">
        <v>1</v>
      </c>
      <c r="G11" s="5" t="s">
        <v>11</v>
      </c>
      <c r="H11" s="1" t="s">
        <v>208</v>
      </c>
      <c r="I11" s="5" t="b">
        <v>1</v>
      </c>
      <c r="J11" s="5" t="b">
        <f>IF(OR(IF(ISERROR(VLOOKUP($C11,PNGs!J:J,1,FALSE)),FALSE,TRUE),IF(ISERROR(VLOOKUP($C11,PNGs!K:K,1,FALSE)),FALSE,TRUE),IF(ISERROR(VLOOKUP($C11,PNGs!L:L,1,FALSE)),FALSE,TRUE)), TRUE,FALSE)</f>
        <v>1</v>
      </c>
      <c r="K11" s="5" t="s">
        <v>57</v>
      </c>
      <c r="L11" s="5" t="s">
        <v>854</v>
      </c>
      <c r="N11" s="5" t="s">
        <v>58</v>
      </c>
    </row>
    <row r="12" spans="1:14" ht="28.8" x14ac:dyDescent="0.3">
      <c r="A12" s="9" t="s">
        <v>48</v>
      </c>
      <c r="B12" s="1">
        <v>25.89</v>
      </c>
      <c r="C12" s="11" t="s">
        <v>611</v>
      </c>
      <c r="D12" s="11" t="s">
        <v>606</v>
      </c>
      <c r="E12" s="11" t="b">
        <v>1</v>
      </c>
      <c r="F12" s="1" t="b">
        <v>1</v>
      </c>
      <c r="G12" s="5" t="s">
        <v>11</v>
      </c>
      <c r="H12" s="1" t="s">
        <v>377</v>
      </c>
      <c r="I12" s="9" t="s">
        <v>607</v>
      </c>
      <c r="J12" s="9" t="s">
        <v>607</v>
      </c>
      <c r="K12" s="11" t="s">
        <v>153</v>
      </c>
      <c r="L12" s="11"/>
      <c r="N12" s="5"/>
    </row>
    <row r="13" spans="1:14" ht="28.8" x14ac:dyDescent="0.3">
      <c r="A13" s="9" t="s">
        <v>48</v>
      </c>
      <c r="B13" s="1">
        <v>25.899000000000001</v>
      </c>
      <c r="C13" s="11" t="s">
        <v>612</v>
      </c>
      <c r="D13" s="11" t="s">
        <v>606</v>
      </c>
      <c r="E13" s="11" t="b">
        <v>1</v>
      </c>
      <c r="F13" s="1" t="b">
        <v>1</v>
      </c>
      <c r="G13" s="5" t="s">
        <v>11</v>
      </c>
      <c r="H13" s="1" t="s">
        <v>377</v>
      </c>
      <c r="I13" s="9" t="s">
        <v>607</v>
      </c>
      <c r="J13" s="9" t="s">
        <v>607</v>
      </c>
      <c r="K13" s="11" t="s">
        <v>153</v>
      </c>
      <c r="L13" s="11"/>
      <c r="N13" s="5"/>
    </row>
    <row r="14" spans="1:14" s="5" customFormat="1" x14ac:dyDescent="0.3">
      <c r="A14" s="5" t="s">
        <v>41</v>
      </c>
      <c r="B14" s="5">
        <v>2</v>
      </c>
      <c r="C14" s="5" t="s">
        <v>43</v>
      </c>
      <c r="D14" s="5" t="s">
        <v>42</v>
      </c>
      <c r="E14" s="5" t="b">
        <v>1</v>
      </c>
      <c r="F14" s="5" t="b">
        <v>1</v>
      </c>
      <c r="G14" s="5" t="s">
        <v>11</v>
      </c>
      <c r="H14" s="5" t="s">
        <v>199</v>
      </c>
      <c r="I14" s="5" t="b">
        <v>1</v>
      </c>
      <c r="J14" s="5" t="b">
        <f>IF(OR(IF(ISERROR(VLOOKUP($C14,PNGs!J:J,1,FALSE)),FALSE,TRUE),IF(ISERROR(VLOOKUP($C14,PNGs!K:K,1,FALSE)),FALSE,TRUE),IF(ISERROR(VLOOKUP($C14,PNGs!L:L,1,FALSE)),FALSE,TRUE)), TRUE,FALSE)</f>
        <v>1</v>
      </c>
      <c r="K14" s="5" t="s">
        <v>44</v>
      </c>
      <c r="L14" s="5" t="s">
        <v>852</v>
      </c>
      <c r="N14" s="5" t="s">
        <v>45</v>
      </c>
    </row>
    <row r="15" spans="1:14" ht="187.2" x14ac:dyDescent="0.3">
      <c r="A15" s="9" t="s">
        <v>48</v>
      </c>
      <c r="B15" s="1">
        <v>25.899899999999999</v>
      </c>
      <c r="C15" s="11" t="s">
        <v>613</v>
      </c>
      <c r="D15" s="11" t="s">
        <v>606</v>
      </c>
      <c r="E15" s="11" t="b">
        <v>1</v>
      </c>
      <c r="F15" s="1" t="b">
        <v>1</v>
      </c>
      <c r="G15" s="5" t="s">
        <v>11</v>
      </c>
      <c r="H15" s="5" t="s">
        <v>377</v>
      </c>
      <c r="I15" s="9" t="s">
        <v>607</v>
      </c>
      <c r="J15" s="9" t="s">
        <v>607</v>
      </c>
      <c r="K15" s="2" t="s">
        <v>119</v>
      </c>
      <c r="L15" s="2"/>
      <c r="N15" s="5"/>
    </row>
    <row r="16" spans="1:14" ht="28.8" x14ac:dyDescent="0.3">
      <c r="A16" s="9" t="s">
        <v>48</v>
      </c>
      <c r="B16" s="1">
        <v>9</v>
      </c>
      <c r="C16" s="9" t="s">
        <v>94</v>
      </c>
      <c r="D16" s="1" t="s">
        <v>55</v>
      </c>
      <c r="E16" s="1" t="b">
        <v>1</v>
      </c>
      <c r="F16" s="1" t="b">
        <v>1</v>
      </c>
      <c r="G16" s="5" t="s">
        <v>11</v>
      </c>
      <c r="H16" s="1" t="s">
        <v>218</v>
      </c>
      <c r="I16" s="1" t="b">
        <v>1</v>
      </c>
      <c r="J16" s="5" t="b">
        <f>IF(OR(IF(ISERROR(VLOOKUP($C16,PNGs!J:J,1,FALSE)),FALSE,TRUE),IF(ISERROR(VLOOKUP($C16,PNGs!K:K,1,FALSE)),FALSE,TRUE),IF(ISERROR(VLOOKUP($C16,PNGs!L:L,1,FALSE)),FALSE,TRUE)), TRUE,FALSE)</f>
        <v>1</v>
      </c>
      <c r="K16" s="9" t="s">
        <v>97</v>
      </c>
      <c r="L16" s="9" t="s">
        <v>855</v>
      </c>
      <c r="M16" s="9"/>
      <c r="N16" s="9" t="s">
        <v>99</v>
      </c>
    </row>
    <row r="17" spans="1:14" x14ac:dyDescent="0.3">
      <c r="A17" s="5" t="s">
        <v>37</v>
      </c>
      <c r="B17" s="1">
        <v>0</v>
      </c>
      <c r="C17" s="5" t="s">
        <v>37</v>
      </c>
      <c r="D17" s="1" t="s">
        <v>37</v>
      </c>
      <c r="E17" s="5" t="s">
        <v>37</v>
      </c>
      <c r="F17" s="1" t="s">
        <v>37</v>
      </c>
      <c r="G17" s="5" t="s">
        <v>37</v>
      </c>
      <c r="H17" s="1" t="s">
        <v>37</v>
      </c>
      <c r="I17" s="1" t="s">
        <v>37</v>
      </c>
      <c r="J17" s="5" t="b">
        <f>IF(OR(IF(ISERROR(VLOOKUP($C17,PNGs!J:J,1,FALSE)),FALSE,TRUE),IF(ISERROR(VLOOKUP($C17,PNGs!K:K,1,FALSE)),FALSE,TRUE),IF(ISERROR(VLOOKUP($C17,PNGs!L:L,1,FALSE)),FALSE,TRUE)), TRUE,FALSE)</f>
        <v>1</v>
      </c>
      <c r="K17" s="5" t="s">
        <v>37</v>
      </c>
      <c r="N17" s="5" t="s">
        <v>37</v>
      </c>
    </row>
    <row r="18" spans="1:14" ht="57.6" x14ac:dyDescent="0.3">
      <c r="A18" s="9" t="s">
        <v>48</v>
      </c>
      <c r="B18" s="3">
        <v>15</v>
      </c>
      <c r="C18" s="9" t="s">
        <v>82</v>
      </c>
      <c r="D18" s="1" t="s">
        <v>61</v>
      </c>
      <c r="E18" s="1" t="b">
        <v>1</v>
      </c>
      <c r="F18" s="1" t="b">
        <v>0</v>
      </c>
      <c r="G18" s="5" t="s">
        <v>37</v>
      </c>
      <c r="H18" s="1" t="s">
        <v>37</v>
      </c>
      <c r="I18" s="1" t="s">
        <v>100</v>
      </c>
      <c r="J18" s="5" t="b">
        <v>1</v>
      </c>
      <c r="K18" s="1" t="s">
        <v>112</v>
      </c>
      <c r="N18" s="9" t="s">
        <v>111</v>
      </c>
    </row>
    <row r="19" spans="1:14" ht="187.2" x14ac:dyDescent="0.3">
      <c r="A19" s="9" t="s">
        <v>48</v>
      </c>
      <c r="B19" s="5">
        <v>25.98</v>
      </c>
      <c r="C19" s="11" t="s">
        <v>605</v>
      </c>
      <c r="D19" s="11" t="s">
        <v>606</v>
      </c>
      <c r="E19" s="11" t="b">
        <v>1</v>
      </c>
      <c r="F19" s="1" t="b">
        <v>1</v>
      </c>
      <c r="G19" s="5" t="s">
        <v>11</v>
      </c>
      <c r="H19" s="1" t="s">
        <v>377</v>
      </c>
      <c r="I19" s="9" t="s">
        <v>607</v>
      </c>
      <c r="J19" s="9" t="s">
        <v>607</v>
      </c>
      <c r="K19" s="2" t="s">
        <v>119</v>
      </c>
      <c r="L19" s="2"/>
      <c r="N19" s="5"/>
    </row>
    <row r="20" spans="1:14" x14ac:dyDescent="0.3">
      <c r="A20" s="9" t="s">
        <v>48</v>
      </c>
      <c r="B20" s="1">
        <v>15.99</v>
      </c>
      <c r="C20" s="11" t="s">
        <v>609</v>
      </c>
      <c r="D20" s="11" t="s">
        <v>606</v>
      </c>
      <c r="E20" s="11" t="b">
        <v>1</v>
      </c>
      <c r="F20" s="1" t="b">
        <v>1</v>
      </c>
      <c r="G20" s="5" t="s">
        <v>11</v>
      </c>
      <c r="H20" s="1" t="s">
        <v>248</v>
      </c>
      <c r="I20" s="9" t="s">
        <v>607</v>
      </c>
      <c r="J20" s="9" t="s">
        <v>607</v>
      </c>
      <c r="K20" s="1" t="s">
        <v>107</v>
      </c>
      <c r="N20" s="5"/>
    </row>
    <row r="21" spans="1:14" ht="43.2" x14ac:dyDescent="0.3">
      <c r="A21" s="9" t="s">
        <v>48</v>
      </c>
      <c r="B21" s="11">
        <v>3</v>
      </c>
      <c r="C21" s="11" t="s">
        <v>46</v>
      </c>
      <c r="D21" s="5" t="s">
        <v>42</v>
      </c>
      <c r="E21" s="11" t="b">
        <v>1</v>
      </c>
      <c r="F21" s="1" t="b">
        <v>1</v>
      </c>
      <c r="G21" s="5" t="s">
        <v>11</v>
      </c>
      <c r="H21" s="1" t="s">
        <v>199</v>
      </c>
      <c r="I21" s="9" t="s">
        <v>607</v>
      </c>
      <c r="J21" s="9" t="b">
        <f>IF(OR(IF(ISERROR(VLOOKUP($C21,PNGs!J:J,1,FALSE)),FALSE,TRUE),IF(ISERROR(VLOOKUP($C21,PNGs!K:K,1,FALSE)),FALSE,TRUE),IF(ISERROR(VLOOKUP($C21,PNGs!L:L,1,FALSE)),FALSE,TRUE)), TRUE,FALSE)</f>
        <v>0</v>
      </c>
      <c r="K21" s="1" t="s">
        <v>44</v>
      </c>
      <c r="L21" s="5" t="s">
        <v>44</v>
      </c>
      <c r="N21" s="9" t="s">
        <v>675</v>
      </c>
    </row>
    <row r="22" spans="1:14" ht="244.8" x14ac:dyDescent="0.3">
      <c r="A22" s="5" t="s">
        <v>41</v>
      </c>
      <c r="B22" s="1">
        <v>21</v>
      </c>
      <c r="C22" s="5" t="s">
        <v>121</v>
      </c>
      <c r="D22" s="5" t="s">
        <v>37</v>
      </c>
      <c r="E22" s="5" t="s">
        <v>37</v>
      </c>
      <c r="F22" s="1" t="b">
        <v>1</v>
      </c>
      <c r="G22" s="5" t="s">
        <v>11</v>
      </c>
      <c r="H22" s="1" t="s">
        <v>357</v>
      </c>
      <c r="I22" s="5" t="b">
        <v>1</v>
      </c>
      <c r="J22" s="5" t="b">
        <v>1</v>
      </c>
      <c r="K22" s="1" t="s">
        <v>121</v>
      </c>
      <c r="L22" s="5" t="s">
        <v>851</v>
      </c>
      <c r="N22" s="1" t="s">
        <v>389</v>
      </c>
    </row>
    <row r="23" spans="1:14" x14ac:dyDescent="0.3">
      <c r="A23" s="9" t="s">
        <v>48</v>
      </c>
      <c r="B23" s="5">
        <v>5</v>
      </c>
      <c r="C23" s="11" t="s">
        <v>51</v>
      </c>
      <c r="D23" s="1" t="s">
        <v>52</v>
      </c>
      <c r="E23" s="11" t="b">
        <v>1</v>
      </c>
      <c r="F23" s="1" t="b">
        <v>1</v>
      </c>
      <c r="G23" s="5" t="s">
        <v>11</v>
      </c>
      <c r="H23" s="1" t="s">
        <v>205</v>
      </c>
      <c r="I23" s="1" t="s">
        <v>100</v>
      </c>
      <c r="J23" s="5" t="b">
        <f>IF(OR(IF(ISERROR(VLOOKUP($C23,PNGs!J:J,1,FALSE)),FALSE,TRUE),IF(ISERROR(VLOOKUP($C23,PNGs!K:K,1,FALSE)),FALSE,TRUE),IF(ISERROR(VLOOKUP($C23,PNGs!L:L,1,FALSE)),FALSE,TRUE)), TRUE,FALSE)</f>
        <v>1</v>
      </c>
      <c r="K23" s="9" t="s">
        <v>53</v>
      </c>
      <c r="L23" s="9" t="s">
        <v>853</v>
      </c>
      <c r="N23" s="9" t="s">
        <v>54</v>
      </c>
    </row>
    <row r="24" spans="1:14" ht="28.8" x14ac:dyDescent="0.3">
      <c r="A24" s="5" t="s">
        <v>41</v>
      </c>
      <c r="B24" s="1">
        <v>21.1</v>
      </c>
      <c r="C24" s="5" t="s">
        <v>95</v>
      </c>
      <c r="D24" s="1" t="s">
        <v>55</v>
      </c>
      <c r="E24" s="5" t="b">
        <v>1</v>
      </c>
      <c r="F24" s="1" t="b">
        <v>1</v>
      </c>
      <c r="G24" s="5" t="s">
        <v>11</v>
      </c>
      <c r="H24" s="1" t="s">
        <v>357</v>
      </c>
      <c r="I24" s="1" t="b">
        <v>1</v>
      </c>
      <c r="J24" s="5" t="b">
        <f>IF(OR(IF(ISERROR(VLOOKUP($C24,PNGs!J:J,1,FALSE)),FALSE,TRUE),IF(ISERROR(VLOOKUP($C24,PNGs!K:K,1,FALSE)),FALSE,TRUE),IF(ISERROR(VLOOKUP($C24,PNGs!L:L,1,FALSE)),FALSE,TRUE)), TRUE,FALSE)</f>
        <v>1</v>
      </c>
      <c r="K24" s="2" t="s">
        <v>129</v>
      </c>
      <c r="L24" s="5" t="s">
        <v>851</v>
      </c>
      <c r="M24" s="2"/>
      <c r="N24" s="5" t="s">
        <v>130</v>
      </c>
    </row>
    <row r="25" spans="1:14" ht="129.6" x14ac:dyDescent="0.3">
      <c r="A25" s="9" t="s">
        <v>48</v>
      </c>
      <c r="B25" s="1">
        <v>7</v>
      </c>
      <c r="C25" s="11" t="s">
        <v>59</v>
      </c>
      <c r="D25" s="5" t="s">
        <v>52</v>
      </c>
      <c r="E25" s="11" t="b">
        <v>1</v>
      </c>
      <c r="F25" s="1" t="b">
        <v>1</v>
      </c>
      <c r="G25" s="5" t="s">
        <v>11</v>
      </c>
      <c r="H25" s="1" t="s">
        <v>208</v>
      </c>
      <c r="I25" s="9" t="s">
        <v>100</v>
      </c>
      <c r="J25" s="5" t="b">
        <f>IF(OR(IF(ISERROR(VLOOKUP($C25,PNGs!J:J,1,FALSE)),FALSE,TRUE),IF(ISERROR(VLOOKUP($C25,PNGs!K:K,1,FALSE)),FALSE,TRUE),IF(ISERROR(VLOOKUP($C25,PNGs!L:L,1,FALSE)),FALSE,TRUE)), TRUE,FALSE)</f>
        <v>1</v>
      </c>
      <c r="K25" s="5" t="s">
        <v>60</v>
      </c>
      <c r="L25" s="5" t="s">
        <v>852</v>
      </c>
      <c r="N25" s="9" t="s">
        <v>191</v>
      </c>
    </row>
    <row r="26" spans="1:14" ht="57.6" x14ac:dyDescent="0.3">
      <c r="A26" s="5" t="s">
        <v>98</v>
      </c>
      <c r="B26" s="5">
        <v>10</v>
      </c>
      <c r="C26" s="5" t="s">
        <v>101</v>
      </c>
      <c r="D26" s="1" t="s">
        <v>52</v>
      </c>
      <c r="E26" s="9" t="b">
        <v>0</v>
      </c>
      <c r="F26" s="1" t="b">
        <v>1</v>
      </c>
      <c r="G26" s="5" t="s">
        <v>11</v>
      </c>
      <c r="H26" s="1" t="s">
        <v>219</v>
      </c>
      <c r="I26" s="1" t="b">
        <v>1</v>
      </c>
      <c r="J26" s="5" t="b">
        <f>IF(OR(IF(ISERROR(VLOOKUP($C26,PNGs!J:J,1,FALSE)),FALSE,TRUE),IF(ISERROR(VLOOKUP($C26,PNGs!K:K,1,FALSE)),FALSE,TRUE),IF(ISERROR(VLOOKUP($C26,PNGs!L:L,1,FALSE)),FALSE,TRUE)), TRUE,FALSE)</f>
        <v>1</v>
      </c>
      <c r="K26" s="2" t="s">
        <v>102</v>
      </c>
      <c r="L26" s="5" t="s">
        <v>858</v>
      </c>
      <c r="M26" s="2"/>
      <c r="N26" s="9" t="s">
        <v>683</v>
      </c>
    </row>
    <row r="27" spans="1:14" ht="28.8" x14ac:dyDescent="0.3">
      <c r="A27" s="9" t="s">
        <v>48</v>
      </c>
      <c r="B27" s="11">
        <v>18</v>
      </c>
      <c r="C27" s="11" t="s">
        <v>117</v>
      </c>
      <c r="D27" s="1" t="s">
        <v>52</v>
      </c>
      <c r="E27" s="11" t="b">
        <v>1</v>
      </c>
      <c r="F27" s="1" t="b">
        <v>1</v>
      </c>
      <c r="G27" s="5" t="s">
        <v>11</v>
      </c>
      <c r="H27" s="1" t="s">
        <v>420</v>
      </c>
      <c r="I27" s="1" t="s">
        <v>100</v>
      </c>
      <c r="J27" s="9" t="b">
        <f>IF(OR(IF(ISERROR(VLOOKUP($C27,PNGs!J:J,1,FALSE)),FALSE,TRUE),IF(ISERROR(VLOOKUP($C27,PNGs!K:K,1,FALSE)),FALSE,TRUE),IF(ISERROR(VLOOKUP($C27,PNGs!L:L,1,FALSE)),FALSE,TRUE)), TRUE,FALSE)</f>
        <v>0</v>
      </c>
      <c r="K27" s="5" t="s">
        <v>118</v>
      </c>
      <c r="N27" s="9" t="s">
        <v>137</v>
      </c>
    </row>
    <row r="28" spans="1:14" x14ac:dyDescent="0.3">
      <c r="A28" s="9" t="s">
        <v>48</v>
      </c>
      <c r="B28" s="11">
        <v>20</v>
      </c>
      <c r="C28" s="17" t="s">
        <v>120</v>
      </c>
      <c r="D28" s="1" t="s">
        <v>37</v>
      </c>
      <c r="E28" s="1" t="s">
        <v>37</v>
      </c>
      <c r="F28" s="1" t="b">
        <v>1</v>
      </c>
      <c r="G28" s="5" t="s">
        <v>11</v>
      </c>
      <c r="H28" s="1" t="s">
        <v>356</v>
      </c>
      <c r="I28" s="1" t="s">
        <v>100</v>
      </c>
      <c r="J28" s="9" t="b">
        <f>IF(OR(IF(ISERROR(VLOOKUP($C28,PNGs!J:J,1,FALSE)),FALSE,TRUE),IF(ISERROR(VLOOKUP($C28,PNGs!K:K,1,FALSE)),FALSE,TRUE),IF(ISERROR(VLOOKUP($C28,PNGs!L:L,1,FALSE)),FALSE,TRUE)), TRUE,FALSE)</f>
        <v>0</v>
      </c>
      <c r="K28" s="2" t="s">
        <v>120</v>
      </c>
      <c r="L28" s="2"/>
      <c r="M28" s="2"/>
      <c r="N28" s="9" t="s">
        <v>136</v>
      </c>
    </row>
    <row r="29" spans="1:14" ht="57.6" x14ac:dyDescent="0.3">
      <c r="A29" s="1" t="s">
        <v>98</v>
      </c>
      <c r="B29" s="1">
        <v>11</v>
      </c>
      <c r="C29" s="1" t="s">
        <v>103</v>
      </c>
      <c r="D29" s="1" t="s">
        <v>52</v>
      </c>
      <c r="E29" s="9" t="b">
        <v>0</v>
      </c>
      <c r="F29" s="1" t="b">
        <v>1</v>
      </c>
      <c r="G29" s="5" t="s">
        <v>11</v>
      </c>
      <c r="H29" s="1" t="s">
        <v>219</v>
      </c>
      <c r="I29" s="1" t="b">
        <v>1</v>
      </c>
      <c r="J29" s="5" t="b">
        <f>IF(OR(IF(ISERROR(VLOOKUP($C29,PNGs!J:J,1,FALSE)),FALSE,TRUE),IF(ISERROR(VLOOKUP($C29,PNGs!K:K,1,FALSE)),FALSE,TRUE),IF(ISERROR(VLOOKUP($C29,PNGs!L:L,1,FALSE)),FALSE,TRUE)), TRUE,FALSE)</f>
        <v>1</v>
      </c>
      <c r="K29" s="2" t="s">
        <v>102</v>
      </c>
      <c r="L29" s="2"/>
      <c r="M29" s="2"/>
      <c r="N29" s="9" t="s">
        <v>683</v>
      </c>
    </row>
    <row r="30" spans="1:14" ht="57.6" x14ac:dyDescent="0.3">
      <c r="A30" s="1" t="s">
        <v>98</v>
      </c>
      <c r="B30" s="1">
        <v>11.1</v>
      </c>
      <c r="C30" s="5" t="s">
        <v>224</v>
      </c>
      <c r="D30" s="1" t="s">
        <v>52</v>
      </c>
      <c r="E30" s="9" t="b">
        <v>0</v>
      </c>
      <c r="F30" s="1" t="b">
        <v>1</v>
      </c>
      <c r="G30" s="5" t="s">
        <v>11</v>
      </c>
      <c r="H30" s="1" t="s">
        <v>219</v>
      </c>
      <c r="I30" s="1" t="b">
        <v>1</v>
      </c>
      <c r="J30" s="5" t="b">
        <f>IF(OR(IF(ISERROR(VLOOKUP($C30,PNGs!J:J,1,FALSE)),FALSE,TRUE),IF(ISERROR(VLOOKUP($C30,PNGs!K:K,1,FALSE)),FALSE,TRUE),IF(ISERROR(VLOOKUP($C30,PNGs!L:L,1,FALSE)),FALSE,TRUE)), TRUE,FALSE)</f>
        <v>1</v>
      </c>
      <c r="K30" s="2" t="s">
        <v>102</v>
      </c>
      <c r="L30" s="2"/>
      <c r="M30" s="2"/>
      <c r="N30" s="9" t="s">
        <v>683</v>
      </c>
    </row>
    <row r="31" spans="1:14" ht="28.8" x14ac:dyDescent="0.3">
      <c r="A31" s="9" t="s">
        <v>48</v>
      </c>
      <c r="B31" s="11">
        <v>22</v>
      </c>
      <c r="C31" s="11" t="s">
        <v>132</v>
      </c>
      <c r="D31" s="11" t="s">
        <v>52</v>
      </c>
      <c r="E31" s="11" t="b">
        <v>1</v>
      </c>
      <c r="F31" s="1" t="b">
        <v>1</v>
      </c>
      <c r="G31" s="5" t="s">
        <v>11</v>
      </c>
      <c r="H31" s="1" t="s">
        <v>421</v>
      </c>
      <c r="I31" s="1" t="s">
        <v>100</v>
      </c>
      <c r="J31" s="9" t="b">
        <f>IF(OR(IF(ISERROR(VLOOKUP($C31,PNGs!J:J,1,FALSE)),FALSE,TRUE),IF(ISERROR(VLOOKUP($C31,PNGs!K:K,1,FALSE)),FALSE,TRUE),IF(ISERROR(VLOOKUP($C31,PNGs!L:L,1,FALSE)),FALSE,TRUE)), TRUE,FALSE)</f>
        <v>0</v>
      </c>
      <c r="K31" s="1" t="s">
        <v>134</v>
      </c>
      <c r="N31" s="9" t="s">
        <v>135</v>
      </c>
    </row>
    <row r="32" spans="1:14" ht="28.8" x14ac:dyDescent="0.3">
      <c r="A32" s="9" t="s">
        <v>48</v>
      </c>
      <c r="B32" s="1">
        <v>22.1</v>
      </c>
      <c r="C32" s="11" t="s">
        <v>131</v>
      </c>
      <c r="D32" s="1" t="s">
        <v>52</v>
      </c>
      <c r="E32" s="11" t="b">
        <v>1</v>
      </c>
      <c r="F32" s="1" t="b">
        <v>1</v>
      </c>
      <c r="G32" s="5" t="s">
        <v>11</v>
      </c>
      <c r="H32" s="1" t="s">
        <v>676</v>
      </c>
      <c r="I32" s="1" t="s">
        <v>100</v>
      </c>
      <c r="J32" s="5" t="b">
        <v>0</v>
      </c>
      <c r="K32" s="1" t="s">
        <v>133</v>
      </c>
      <c r="N32" s="1" t="s">
        <v>135</v>
      </c>
    </row>
    <row r="33" spans="1:14" x14ac:dyDescent="0.3">
      <c r="A33" s="1" t="s">
        <v>98</v>
      </c>
      <c r="B33" s="1">
        <v>12</v>
      </c>
      <c r="C33" s="5" t="s">
        <v>64</v>
      </c>
      <c r="D33" s="1" t="s">
        <v>52</v>
      </c>
      <c r="E33" s="1" t="b">
        <v>1</v>
      </c>
      <c r="F33" s="1" t="b">
        <v>1</v>
      </c>
      <c r="G33" s="5" t="s">
        <v>11</v>
      </c>
      <c r="H33" s="1" t="s">
        <v>219</v>
      </c>
      <c r="I33" s="1" t="b">
        <v>1</v>
      </c>
      <c r="J33" s="5" t="b">
        <f>IF(OR(IF(ISERROR(VLOOKUP($C33,PNGs!J:J,1,FALSE)),FALSE,TRUE),IF(ISERROR(VLOOKUP($C33,PNGs!K:K,1,FALSE)),FALSE,TRUE),IF(ISERROR(VLOOKUP($C33,PNGs!L:L,1,FALSE)),FALSE,TRUE)), TRUE,FALSE)</f>
        <v>1</v>
      </c>
      <c r="K33" s="5" t="s">
        <v>104</v>
      </c>
      <c r="N33" s="1" t="s">
        <v>168</v>
      </c>
    </row>
    <row r="34" spans="1:14" ht="28.8" x14ac:dyDescent="0.3">
      <c r="A34" s="5" t="s">
        <v>41</v>
      </c>
      <c r="B34" s="1">
        <v>25.8</v>
      </c>
      <c r="C34" s="11" t="s">
        <v>153</v>
      </c>
      <c r="D34" s="11" t="s">
        <v>52</v>
      </c>
      <c r="E34" s="11" t="b">
        <v>1</v>
      </c>
      <c r="F34" s="1" t="b">
        <v>1</v>
      </c>
      <c r="G34" s="5" t="s">
        <v>11</v>
      </c>
      <c r="H34" s="1" t="s">
        <v>377</v>
      </c>
      <c r="I34" s="1" t="b">
        <v>1</v>
      </c>
      <c r="J34" s="5" t="b">
        <f>IF(OR(IF(ISERROR(VLOOKUP($C34,PNGs!J:J,1,FALSE)),FALSE,TRUE),IF(ISERROR(VLOOKUP($C34,PNGs!K:K,1,FALSE)),FALSE,TRUE),IF(ISERROR(VLOOKUP($C34,PNGs!L:L,1,FALSE)),FALSE,TRUE)), TRUE,FALSE)</f>
        <v>1</v>
      </c>
      <c r="K34" s="5" t="s">
        <v>154</v>
      </c>
      <c r="N34" s="5" t="s">
        <v>155</v>
      </c>
    </row>
    <row r="35" spans="1:14" ht="86.4" x14ac:dyDescent="0.3">
      <c r="A35" s="1" t="s">
        <v>41</v>
      </c>
      <c r="B35" s="1">
        <v>23</v>
      </c>
      <c r="C35" s="2" t="s">
        <v>139</v>
      </c>
      <c r="D35" s="1" t="s">
        <v>37</v>
      </c>
      <c r="E35" s="1" t="s">
        <v>37</v>
      </c>
      <c r="F35" s="1" t="b">
        <v>1</v>
      </c>
      <c r="G35" s="5" t="s">
        <v>11</v>
      </c>
      <c r="H35" s="1" t="s">
        <v>374</v>
      </c>
      <c r="I35" s="1" t="b">
        <v>1</v>
      </c>
      <c r="J35" s="5" t="b">
        <f>IF(OR(IF(ISERROR(VLOOKUP($C35,PNGs!J:J,1,FALSE)),FALSE,TRUE),IF(ISERROR(VLOOKUP($C35,PNGs!K:K,1,FALSE)),FALSE,TRUE),IF(ISERROR(VLOOKUP($C35,PNGs!L:L,1,FALSE)),FALSE,TRUE)), TRUE,FALSE)</f>
        <v>1</v>
      </c>
      <c r="K35" s="2" t="s">
        <v>139</v>
      </c>
      <c r="L35" s="2"/>
      <c r="M35" s="2"/>
      <c r="N35" s="1" t="s">
        <v>185</v>
      </c>
    </row>
    <row r="36" spans="1:14" ht="216" x14ac:dyDescent="0.3">
      <c r="A36" s="1" t="s">
        <v>41</v>
      </c>
      <c r="B36" s="1">
        <v>24</v>
      </c>
      <c r="C36" s="5" t="s">
        <v>143</v>
      </c>
      <c r="D36" s="1" t="s">
        <v>37</v>
      </c>
      <c r="E36" s="1" t="s">
        <v>37</v>
      </c>
      <c r="F36" s="1" t="b">
        <v>1</v>
      </c>
      <c r="G36" s="5" t="s">
        <v>11</v>
      </c>
      <c r="H36" s="1" t="s">
        <v>375</v>
      </c>
      <c r="I36" s="1" t="b">
        <v>1</v>
      </c>
      <c r="J36" s="16" t="b">
        <f>IF(OR(IF(ISERROR(VLOOKUP($C36,PNGs!J:J,1,FALSE)),FALSE,TRUE),IF(ISERROR(VLOOKUP($C36,PNGs!K:K,1,FALSE)),FALSE,TRUE),IF(ISERROR(VLOOKUP($C36,PNGs!L:L,1,FALSE)),FALSE,TRUE)), TRUE,FALSE)</f>
        <v>0</v>
      </c>
      <c r="K36" s="1" t="s">
        <v>143</v>
      </c>
      <c r="N36" s="1" t="s">
        <v>182</v>
      </c>
    </row>
    <row r="37" spans="1:14" ht="409.6" x14ac:dyDescent="0.3">
      <c r="A37" s="1" t="s">
        <v>41</v>
      </c>
      <c r="B37" s="1">
        <v>25</v>
      </c>
      <c r="C37" s="2" t="s">
        <v>145</v>
      </c>
      <c r="D37" s="1" t="s">
        <v>37</v>
      </c>
      <c r="E37" s="1" t="s">
        <v>37</v>
      </c>
      <c r="F37" s="1" t="b">
        <v>1</v>
      </c>
      <c r="G37" s="5" t="s">
        <v>11</v>
      </c>
      <c r="H37" s="1" t="s">
        <v>377</v>
      </c>
      <c r="I37" s="1" t="b">
        <v>1</v>
      </c>
      <c r="J37" s="16" t="b">
        <f>IF(OR(IF(ISERROR(VLOOKUP($C37,PNGs!J:J,1,FALSE)),FALSE,TRUE),IF(ISERROR(VLOOKUP($C37,PNGs!K:K,1,FALSE)),FALSE,TRUE),IF(ISERROR(VLOOKUP($C37,PNGs!L:L,1,FALSE)),FALSE,TRUE)), TRUE,FALSE)</f>
        <v>0</v>
      </c>
      <c r="K37" s="2" t="s">
        <v>145</v>
      </c>
      <c r="L37" s="2"/>
      <c r="M37" s="2"/>
      <c r="N37" s="1" t="s">
        <v>390</v>
      </c>
    </row>
    <row r="38" spans="1:14" ht="201.6" x14ac:dyDescent="0.3">
      <c r="A38" s="1" t="s">
        <v>41</v>
      </c>
      <c r="B38" s="1">
        <v>25.1</v>
      </c>
      <c r="C38" s="2" t="s">
        <v>146</v>
      </c>
      <c r="D38" s="1" t="s">
        <v>37</v>
      </c>
      <c r="E38" s="1" t="s">
        <v>37</v>
      </c>
      <c r="F38" s="1" t="b">
        <v>1</v>
      </c>
      <c r="G38" s="5" t="s">
        <v>11</v>
      </c>
      <c r="H38" s="1" t="s">
        <v>377</v>
      </c>
      <c r="I38" s="1" t="b">
        <v>1</v>
      </c>
      <c r="J38" s="16" t="b">
        <f>IF(OR(IF(ISERROR(VLOOKUP($C38,PNGs!J:J,1,FALSE)),FALSE,TRUE),IF(ISERROR(VLOOKUP($C38,PNGs!K:K,1,FALSE)),FALSE,TRUE),IF(ISERROR(VLOOKUP($C38,PNGs!L:L,1,FALSE)),FALSE,TRUE)), TRUE,FALSE)</f>
        <v>0</v>
      </c>
      <c r="K38" s="2" t="s">
        <v>146</v>
      </c>
      <c r="L38" s="2"/>
      <c r="M38" s="2"/>
      <c r="N38" s="1" t="s">
        <v>155</v>
      </c>
    </row>
    <row r="39" spans="1:14" ht="216" x14ac:dyDescent="0.3">
      <c r="A39" s="1" t="s">
        <v>41</v>
      </c>
      <c r="B39" s="1">
        <v>25.2</v>
      </c>
      <c r="C39" s="5" t="s">
        <v>147</v>
      </c>
      <c r="D39" s="1" t="s">
        <v>37</v>
      </c>
      <c r="E39" s="1" t="s">
        <v>37</v>
      </c>
      <c r="F39" s="1" t="b">
        <v>1</v>
      </c>
      <c r="G39" s="5" t="s">
        <v>11</v>
      </c>
      <c r="H39" s="1" t="s">
        <v>377</v>
      </c>
      <c r="I39" s="1" t="b">
        <v>1</v>
      </c>
      <c r="J39" s="16" t="b">
        <f>IF(OR(IF(ISERROR(VLOOKUP($C39,PNGs!J:J,1,FALSE)),FALSE,TRUE),IF(ISERROR(VLOOKUP($C39,PNGs!K:K,1,FALSE)),FALSE,TRUE),IF(ISERROR(VLOOKUP($C39,PNGs!L:L,1,FALSE)),FALSE,TRUE)), TRUE,FALSE)</f>
        <v>0</v>
      </c>
      <c r="K39" s="1" t="s">
        <v>147</v>
      </c>
      <c r="N39" s="1" t="s">
        <v>155</v>
      </c>
    </row>
    <row r="40" spans="1:14" ht="216" x14ac:dyDescent="0.3">
      <c r="A40" s="1" t="s">
        <v>41</v>
      </c>
      <c r="B40" s="1">
        <v>25.3</v>
      </c>
      <c r="C40" s="5" t="s">
        <v>148</v>
      </c>
      <c r="D40" s="1" t="s">
        <v>37</v>
      </c>
      <c r="E40" s="1" t="s">
        <v>37</v>
      </c>
      <c r="F40" s="1" t="b">
        <v>1</v>
      </c>
      <c r="G40" s="5" t="s">
        <v>11</v>
      </c>
      <c r="H40" s="1" t="s">
        <v>377</v>
      </c>
      <c r="I40" s="1" t="b">
        <v>1</v>
      </c>
      <c r="J40" s="16" t="b">
        <f>IF(OR(IF(ISERROR(VLOOKUP($C40,PNGs!J:J,1,FALSE)),FALSE,TRUE),IF(ISERROR(VLOOKUP($C40,PNGs!K:K,1,FALSE)),FALSE,TRUE),IF(ISERROR(VLOOKUP($C40,PNGs!L:L,1,FALSE)),FALSE,TRUE)), TRUE,FALSE)</f>
        <v>0</v>
      </c>
      <c r="K40" s="1" t="s">
        <v>148</v>
      </c>
      <c r="N40" s="1" t="s">
        <v>155</v>
      </c>
    </row>
    <row r="41" spans="1:14" ht="216" x14ac:dyDescent="0.3">
      <c r="A41" s="1" t="s">
        <v>41</v>
      </c>
      <c r="B41" s="1">
        <v>25.4</v>
      </c>
      <c r="C41" s="5" t="s">
        <v>149</v>
      </c>
      <c r="D41" s="1" t="s">
        <v>37</v>
      </c>
      <c r="E41" s="1" t="s">
        <v>37</v>
      </c>
      <c r="F41" s="1" t="b">
        <v>1</v>
      </c>
      <c r="G41" s="5" t="s">
        <v>11</v>
      </c>
      <c r="H41" s="1" t="s">
        <v>377</v>
      </c>
      <c r="I41" s="1" t="b">
        <v>1</v>
      </c>
      <c r="J41" s="16" t="b">
        <f>IF(OR(IF(ISERROR(VLOOKUP($C41,PNGs!J:J,1,FALSE)),FALSE,TRUE),IF(ISERROR(VLOOKUP($C41,PNGs!K:K,1,FALSE)),FALSE,TRUE),IF(ISERROR(VLOOKUP($C41,PNGs!L:L,1,FALSE)),FALSE,TRUE)), TRUE,FALSE)</f>
        <v>0</v>
      </c>
      <c r="K41" s="1" t="s">
        <v>149</v>
      </c>
      <c r="N41" s="1" t="s">
        <v>155</v>
      </c>
    </row>
    <row r="42" spans="1:14" ht="230.4" x14ac:dyDescent="0.3">
      <c r="A42" s="1" t="s">
        <v>41</v>
      </c>
      <c r="B42" s="1">
        <v>25.5</v>
      </c>
      <c r="C42" s="1" t="s">
        <v>150</v>
      </c>
      <c r="D42" s="1" t="s">
        <v>37</v>
      </c>
      <c r="E42" s="1" t="s">
        <v>37</v>
      </c>
      <c r="F42" s="1" t="b">
        <v>1</v>
      </c>
      <c r="G42" s="5" t="s">
        <v>11</v>
      </c>
      <c r="H42" s="1" t="s">
        <v>377</v>
      </c>
      <c r="I42" s="1" t="b">
        <v>1</v>
      </c>
      <c r="J42" s="16" t="b">
        <f>IF(OR(IF(ISERROR(VLOOKUP($C42,PNGs!J:J,1,FALSE)),FALSE,TRUE),IF(ISERROR(VLOOKUP($C42,PNGs!K:K,1,FALSE)),FALSE,TRUE),IF(ISERROR(VLOOKUP($C42,PNGs!L:L,1,FALSE)),FALSE,TRUE)), TRUE,FALSE)</f>
        <v>0</v>
      </c>
      <c r="K42" s="1" t="s">
        <v>150</v>
      </c>
      <c r="N42" s="1" t="s">
        <v>155</v>
      </c>
    </row>
    <row r="43" spans="1:14" ht="216" x14ac:dyDescent="0.3">
      <c r="A43" s="1" t="s">
        <v>41</v>
      </c>
      <c r="B43" s="1">
        <v>25.6</v>
      </c>
      <c r="C43" s="5" t="s">
        <v>151</v>
      </c>
      <c r="D43" s="1" t="s">
        <v>37</v>
      </c>
      <c r="E43" s="1" t="s">
        <v>37</v>
      </c>
      <c r="F43" s="1" t="b">
        <v>1</v>
      </c>
      <c r="G43" s="5" t="s">
        <v>11</v>
      </c>
      <c r="H43" s="1" t="s">
        <v>377</v>
      </c>
      <c r="I43" s="1" t="b">
        <v>1</v>
      </c>
      <c r="J43" s="16" t="b">
        <f>IF(OR(IF(ISERROR(VLOOKUP($C43,PNGs!J:J,1,FALSE)),FALSE,TRUE),IF(ISERROR(VLOOKUP($C43,PNGs!K:K,1,FALSE)),FALSE,TRUE),IF(ISERROR(VLOOKUP($C43,PNGs!L:L,1,FALSE)),FALSE,TRUE)), TRUE,FALSE)</f>
        <v>0</v>
      </c>
      <c r="K43" s="1" t="s">
        <v>151</v>
      </c>
      <c r="N43" s="1" t="s">
        <v>155</v>
      </c>
    </row>
    <row r="44" spans="1:14" s="5" customFormat="1" ht="216" x14ac:dyDescent="0.3">
      <c r="A44" s="5" t="s">
        <v>41</v>
      </c>
      <c r="B44" s="5">
        <v>25.7</v>
      </c>
      <c r="C44" s="5" t="s">
        <v>152</v>
      </c>
      <c r="D44" s="5" t="s">
        <v>37</v>
      </c>
      <c r="E44" s="5" t="s">
        <v>37</v>
      </c>
      <c r="F44" s="5" t="b">
        <v>1</v>
      </c>
      <c r="G44" s="5" t="s">
        <v>11</v>
      </c>
      <c r="H44" s="5" t="s">
        <v>377</v>
      </c>
      <c r="I44" s="5" t="b">
        <v>1</v>
      </c>
      <c r="J44" s="16" t="b">
        <f>IF(OR(IF(ISERROR(VLOOKUP($C44,PNGs!J:J,1,FALSE)),FALSE,TRUE),IF(ISERROR(VLOOKUP($C44,PNGs!K:K,1,FALSE)),FALSE,TRUE),IF(ISERROR(VLOOKUP($C44,PNGs!L:L,1,FALSE)),FALSE,TRUE)), TRUE,FALSE)</f>
        <v>0</v>
      </c>
      <c r="K44" s="5" t="s">
        <v>152</v>
      </c>
      <c r="N44" s="5" t="s">
        <v>155</v>
      </c>
    </row>
    <row r="45" spans="1:14" ht="86.4" x14ac:dyDescent="0.3">
      <c r="A45" s="1" t="s">
        <v>41</v>
      </c>
      <c r="B45" s="1">
        <v>23.1</v>
      </c>
      <c r="C45" s="1" t="s">
        <v>140</v>
      </c>
      <c r="D45" s="1" t="s">
        <v>37</v>
      </c>
      <c r="E45" s="5" t="s">
        <v>37</v>
      </c>
      <c r="F45" s="1" t="b">
        <v>1</v>
      </c>
      <c r="G45" s="5" t="s">
        <v>11</v>
      </c>
      <c r="H45" s="1" t="s">
        <v>374</v>
      </c>
      <c r="I45" s="1" t="b">
        <v>1</v>
      </c>
      <c r="J45" s="5" t="b">
        <f>IF(OR(IF(ISERROR(VLOOKUP($C45,PNGs!J:J,1,FALSE)),FALSE,TRUE),IF(ISERROR(VLOOKUP($C45,PNGs!K:K,1,FALSE)),FALSE,TRUE),IF(ISERROR(VLOOKUP($C45,PNGs!L:L,1,FALSE)),FALSE,TRUE)), TRUE,FALSE)</f>
        <v>1</v>
      </c>
      <c r="K45" s="5" t="s">
        <v>140</v>
      </c>
      <c r="N45" s="1" t="s">
        <v>184</v>
      </c>
    </row>
    <row r="46" spans="1:14" ht="86.4" x14ac:dyDescent="0.3">
      <c r="A46" s="5" t="s">
        <v>41</v>
      </c>
      <c r="B46" s="1">
        <v>23.2</v>
      </c>
      <c r="C46" s="5" t="s">
        <v>141</v>
      </c>
      <c r="D46" s="5" t="s">
        <v>37</v>
      </c>
      <c r="E46" s="5" t="s">
        <v>37</v>
      </c>
      <c r="F46" s="1" t="b">
        <v>1</v>
      </c>
      <c r="G46" s="5" t="s">
        <v>11</v>
      </c>
      <c r="H46" s="1" t="s">
        <v>374</v>
      </c>
      <c r="I46" s="5" t="b">
        <v>1</v>
      </c>
      <c r="J46" s="5" t="b">
        <f>IF(OR(IF(ISERROR(VLOOKUP($C46,PNGs!J:J,1,FALSE)),FALSE,TRUE),IF(ISERROR(VLOOKUP($C46,PNGs!K:K,1,FALSE)),FALSE,TRUE),IF(ISERROR(VLOOKUP($C46,PNGs!L:L,1,FALSE)),FALSE,TRUE)), TRUE,FALSE)</f>
        <v>1</v>
      </c>
      <c r="K46" s="5" t="s">
        <v>141</v>
      </c>
      <c r="N46" s="1" t="s">
        <v>183</v>
      </c>
    </row>
    <row r="47" spans="1:14" ht="57.6" x14ac:dyDescent="0.3">
      <c r="A47" s="9" t="s">
        <v>48</v>
      </c>
      <c r="B47" s="1">
        <v>15.1</v>
      </c>
      <c r="C47" s="11" t="s">
        <v>110</v>
      </c>
      <c r="D47" s="11" t="s">
        <v>109</v>
      </c>
      <c r="E47" s="11" t="b">
        <v>1</v>
      </c>
      <c r="F47" s="1" t="b">
        <v>1</v>
      </c>
      <c r="G47" s="5" t="s">
        <v>397</v>
      </c>
      <c r="H47" s="1" t="s">
        <v>37</v>
      </c>
      <c r="I47" s="5" t="s">
        <v>100</v>
      </c>
      <c r="J47" s="5" t="b">
        <v>1</v>
      </c>
      <c r="K47" s="5" t="s">
        <v>112</v>
      </c>
      <c r="N47" s="9" t="s">
        <v>111</v>
      </c>
    </row>
    <row r="48" spans="1:14" ht="100.8" x14ac:dyDescent="0.3">
      <c r="A48" s="9" t="s">
        <v>48</v>
      </c>
      <c r="B48" s="1">
        <v>8</v>
      </c>
      <c r="C48" s="11" t="s">
        <v>62</v>
      </c>
      <c r="D48" s="5" t="s">
        <v>61</v>
      </c>
      <c r="E48" s="11" t="b">
        <v>1</v>
      </c>
      <c r="F48" s="1" t="b">
        <v>1</v>
      </c>
      <c r="G48" s="5" t="s">
        <v>11</v>
      </c>
      <c r="H48" s="1" t="s">
        <v>215</v>
      </c>
      <c r="I48" s="9" t="s">
        <v>100</v>
      </c>
      <c r="J48" s="5" t="b">
        <f>IF(OR(IF(ISERROR(VLOOKUP($C48,PNGs!J:J,1,FALSE)),FALSE,TRUE),IF(ISERROR(VLOOKUP($C48,PNGs!K:K,1,FALSE)),FALSE,TRUE),IF(ISERROR(VLOOKUP($C48,PNGs!L:L,1,FALSE)),FALSE,TRUE)), TRUE,FALSE)</f>
        <v>1</v>
      </c>
      <c r="K48" s="9" t="s">
        <v>53</v>
      </c>
      <c r="L48" s="9" t="s">
        <v>856</v>
      </c>
      <c r="N48" s="9" t="s">
        <v>190</v>
      </c>
    </row>
    <row r="49" spans="1:14" ht="115.2" x14ac:dyDescent="0.3">
      <c r="A49" s="9" t="s">
        <v>48</v>
      </c>
      <c r="B49" s="1">
        <v>17</v>
      </c>
      <c r="C49" s="11" t="s">
        <v>115</v>
      </c>
      <c r="D49" s="1" t="s">
        <v>61</v>
      </c>
      <c r="E49" s="11" t="b">
        <v>1</v>
      </c>
      <c r="F49" s="1" t="b">
        <v>1</v>
      </c>
      <c r="G49" s="5" t="s">
        <v>11</v>
      </c>
      <c r="H49" s="1" t="s">
        <v>355</v>
      </c>
      <c r="I49" s="1" t="b">
        <v>1</v>
      </c>
      <c r="J49" s="5" t="b">
        <f>IF(OR(IF(ISERROR(VLOOKUP($C49,PNGs!J:J,1,FALSE)),FALSE,TRUE),IF(ISERROR(VLOOKUP($C49,PNGs!K:K,1,FALSE)),FALSE,TRUE),IF(ISERROR(VLOOKUP($C49,PNGs!L:L,1,FALSE)),FALSE,TRUE)), TRUE,FALSE)</f>
        <v>1</v>
      </c>
      <c r="K49" s="5" t="s">
        <v>116</v>
      </c>
      <c r="L49" s="5" t="s">
        <v>116</v>
      </c>
      <c r="N49" s="9" t="s">
        <v>388</v>
      </c>
    </row>
    <row r="50" spans="1:14" x14ac:dyDescent="0.3">
      <c r="A50" s="9" t="s">
        <v>48</v>
      </c>
      <c r="B50" s="11">
        <v>16</v>
      </c>
      <c r="C50" s="11" t="s">
        <v>113</v>
      </c>
      <c r="D50" s="11" t="s">
        <v>61</v>
      </c>
      <c r="E50" s="11" t="b">
        <v>1</v>
      </c>
      <c r="F50" s="1" t="b">
        <v>1</v>
      </c>
      <c r="G50" s="5" t="s">
        <v>11</v>
      </c>
      <c r="H50" s="1" t="s">
        <v>419</v>
      </c>
      <c r="I50" s="5" t="s">
        <v>100</v>
      </c>
      <c r="J50" s="9" t="b">
        <f>IF(OR(IF(ISERROR(VLOOKUP($C50,PNGs!J:J,1,FALSE)),FALSE,TRUE),IF(ISERROR(VLOOKUP($C50,PNGs!K:K,1,FALSE)),FALSE,TRUE),IF(ISERROR(VLOOKUP($C50,PNGs!L:L,1,FALSE)),FALSE,TRUE)), TRUE,FALSE)</f>
        <v>0</v>
      </c>
      <c r="K50" s="5" t="s">
        <v>114</v>
      </c>
      <c r="L50" s="5" t="s">
        <v>857</v>
      </c>
      <c r="N50" s="9" t="s">
        <v>138</v>
      </c>
    </row>
    <row r="51" spans="1:14" ht="187.2" x14ac:dyDescent="0.3">
      <c r="A51" s="1" t="s">
        <v>41</v>
      </c>
      <c r="B51" s="1">
        <v>25.99</v>
      </c>
      <c r="C51" s="2" t="s">
        <v>119</v>
      </c>
      <c r="D51" s="1" t="s">
        <v>37</v>
      </c>
      <c r="E51" s="1" t="s">
        <v>37</v>
      </c>
      <c r="F51" s="1" t="b">
        <v>1</v>
      </c>
      <c r="G51" s="5" t="s">
        <v>11</v>
      </c>
      <c r="H51" s="1" t="s">
        <v>377</v>
      </c>
      <c r="I51" s="1" t="b">
        <v>1</v>
      </c>
      <c r="J51" s="16" t="b">
        <f>IF(OR(IF(ISERROR(VLOOKUP($C51,PNGs!J:J,1,FALSE)),FALSE,TRUE),IF(ISERROR(VLOOKUP($C51,PNGs!K:K,1,FALSE)),FALSE,TRUE),IF(ISERROR(VLOOKUP($C51,PNGs!L:L,1,FALSE)),FALSE,TRUE)), TRUE,FALSE)</f>
        <v>0</v>
      </c>
      <c r="K51" s="2" t="s">
        <v>119</v>
      </c>
      <c r="L51" s="2"/>
      <c r="M51" s="2"/>
      <c r="N51" s="1" t="s">
        <v>398</v>
      </c>
    </row>
    <row r="52" spans="1:14" ht="144" x14ac:dyDescent="0.3">
      <c r="A52" s="9" t="s">
        <v>48</v>
      </c>
      <c r="B52" s="1">
        <v>13</v>
      </c>
      <c r="C52" s="11" t="s">
        <v>105</v>
      </c>
      <c r="D52" s="11" t="s">
        <v>61</v>
      </c>
      <c r="E52" s="11" t="b">
        <v>1</v>
      </c>
      <c r="F52" s="1" t="b">
        <v>1</v>
      </c>
      <c r="G52" s="5" t="s">
        <v>11</v>
      </c>
      <c r="H52" s="1" t="s">
        <v>219</v>
      </c>
      <c r="I52" s="5" t="s">
        <v>100</v>
      </c>
      <c r="J52" s="5" t="b">
        <f>IF(OR(IF(ISERROR(VLOOKUP($C52,PNGs!J:J,1,FALSE)),FALSE,TRUE),IF(ISERROR(VLOOKUP($C52,PNGs!K:K,1,FALSE)),FALSE,TRUE),IF(ISERROR(VLOOKUP($C52,PNGs!L:L,1,FALSE)),FALSE,TRUE)), TRUE,FALSE)</f>
        <v>1</v>
      </c>
      <c r="K52" s="9" t="s">
        <v>53</v>
      </c>
      <c r="L52" s="9"/>
      <c r="N52" s="9" t="s">
        <v>189</v>
      </c>
    </row>
    <row r="53" spans="1:14" ht="244.8" x14ac:dyDescent="0.3">
      <c r="A53" s="1" t="s">
        <v>41</v>
      </c>
      <c r="B53" s="1">
        <v>27</v>
      </c>
      <c r="C53" s="1" t="s">
        <v>157</v>
      </c>
      <c r="D53" s="1" t="s">
        <v>37</v>
      </c>
      <c r="E53" s="1" t="s">
        <v>37</v>
      </c>
      <c r="F53" s="1" t="b">
        <v>1</v>
      </c>
      <c r="G53" s="5" t="s">
        <v>11</v>
      </c>
      <c r="H53" s="1" t="s">
        <v>380</v>
      </c>
      <c r="I53" s="1" t="b">
        <v>1</v>
      </c>
      <c r="J53" s="16" t="b">
        <f>IF(OR(IF(ISERROR(VLOOKUP($C53,PNGs!J:J,1,FALSE)),FALSE,TRUE),IF(ISERROR(VLOOKUP($C53,PNGs!K:K,1,FALSE)),FALSE,TRUE),IF(ISERROR(VLOOKUP($C53,PNGs!L:L,1,FALSE)),FALSE,TRUE)), TRUE,FALSE)</f>
        <v>0</v>
      </c>
      <c r="K53" s="1" t="s">
        <v>157</v>
      </c>
      <c r="N53" s="1" t="s">
        <v>392</v>
      </c>
    </row>
    <row r="54" spans="1:14" ht="244.8" x14ac:dyDescent="0.3">
      <c r="A54" s="5" t="s">
        <v>41</v>
      </c>
      <c r="B54" s="1">
        <v>27.1</v>
      </c>
      <c r="C54" s="1" t="s">
        <v>91</v>
      </c>
      <c r="D54" s="1" t="s">
        <v>55</v>
      </c>
      <c r="E54" s="1" t="b">
        <v>1</v>
      </c>
      <c r="F54" s="1" t="b">
        <v>1</v>
      </c>
      <c r="G54" s="5" t="s">
        <v>11</v>
      </c>
      <c r="H54" s="1" t="s">
        <v>380</v>
      </c>
      <c r="I54" s="1" t="b">
        <v>1</v>
      </c>
      <c r="J54" s="16" t="b">
        <f>IF(OR(IF(ISERROR(VLOOKUP($C54,PNGs!J:J,1,FALSE)),FALSE,TRUE),IF(ISERROR(VLOOKUP($C54,PNGs!K:K,1,FALSE)),FALSE,TRUE),IF(ISERROR(VLOOKUP($C54,PNGs!L:L,1,FALSE)),FALSE,TRUE)), TRUE,FALSE)</f>
        <v>0</v>
      </c>
      <c r="K54" s="1" t="s">
        <v>157</v>
      </c>
      <c r="N54" s="1" t="s">
        <v>162</v>
      </c>
    </row>
    <row r="55" spans="1:14" x14ac:dyDescent="0.3">
      <c r="A55" s="5" t="s">
        <v>41</v>
      </c>
      <c r="B55" s="1">
        <v>27.2</v>
      </c>
      <c r="C55" s="1" t="s">
        <v>93</v>
      </c>
      <c r="D55" s="1" t="s">
        <v>55</v>
      </c>
      <c r="E55" s="1" t="b">
        <v>1</v>
      </c>
      <c r="F55" s="1" t="b">
        <v>1</v>
      </c>
      <c r="G55" s="5" t="s">
        <v>11</v>
      </c>
      <c r="H55" s="1" t="s">
        <v>380</v>
      </c>
      <c r="I55" s="1" t="b">
        <v>1</v>
      </c>
      <c r="J55" s="16" t="b">
        <f>IF(OR(IF(ISERROR(VLOOKUP($C55,PNGs!J:J,1,FALSE)),FALSE,TRUE),IF(ISERROR(VLOOKUP($C55,PNGs!K:K,1,FALSE)),FALSE,TRUE),IF(ISERROR(VLOOKUP($C55,PNGs!L:L,1,FALSE)),FALSE,TRUE)), TRUE,FALSE)</f>
        <v>0</v>
      </c>
      <c r="K55" s="2" t="s">
        <v>173</v>
      </c>
      <c r="L55" s="2"/>
      <c r="M55" s="2"/>
      <c r="N55" s="1" t="s">
        <v>162</v>
      </c>
    </row>
    <row r="56" spans="1:14" ht="409.6" x14ac:dyDescent="0.3">
      <c r="A56" s="9" t="s">
        <v>48</v>
      </c>
      <c r="B56" s="1">
        <v>15.2</v>
      </c>
      <c r="C56" s="11" t="s">
        <v>107</v>
      </c>
      <c r="D56" s="5" t="s">
        <v>61</v>
      </c>
      <c r="E56" s="11" t="b">
        <v>1</v>
      </c>
      <c r="F56" s="1" t="b">
        <v>1</v>
      </c>
      <c r="G56" s="5" t="s">
        <v>11</v>
      </c>
      <c r="H56" s="1" t="s">
        <v>248</v>
      </c>
      <c r="I56" s="5" t="s">
        <v>100</v>
      </c>
      <c r="J56" s="5" t="b">
        <f>IF(OR(IF(ISERROR(VLOOKUP($C56,PNGs!J:J,1,FALSE)),FALSE,TRUE),IF(ISERROR(VLOOKUP($C56,PNGs!K:K,1,FALSE)),FALSE,TRUE),IF(ISERROR(VLOOKUP($C56,PNGs!L:L,1,FALSE)),FALSE,TRUE)), TRUE,FALSE)</f>
        <v>1</v>
      </c>
      <c r="K56" s="5" t="s">
        <v>108</v>
      </c>
      <c r="M56" s="9"/>
      <c r="N56" s="9" t="s">
        <v>187</v>
      </c>
    </row>
    <row r="57" spans="1:14" ht="57.6" x14ac:dyDescent="0.3">
      <c r="A57" s="5" t="s">
        <v>41</v>
      </c>
      <c r="B57" s="1">
        <v>28.1</v>
      </c>
      <c r="C57" s="1" t="s">
        <v>92</v>
      </c>
      <c r="D57" s="1" t="s">
        <v>55</v>
      </c>
      <c r="E57" s="1" t="b">
        <v>1</v>
      </c>
      <c r="F57" s="1" t="b">
        <v>1</v>
      </c>
      <c r="G57" s="5" t="s">
        <v>11</v>
      </c>
      <c r="H57" s="1" t="s">
        <v>381</v>
      </c>
      <c r="I57" s="1" t="b">
        <v>1</v>
      </c>
      <c r="J57" s="16" t="b">
        <f>IF(OR(IF(ISERROR(VLOOKUP($C57,PNGs!J:J,1,FALSE)),FALSE,TRUE),IF(ISERROR(VLOOKUP($C57,PNGs!K:K,1,FALSE)),FALSE,TRUE),IF(ISERROR(VLOOKUP($C57,PNGs!L:L,1,FALSE)),FALSE,TRUE)), TRUE,FALSE)</f>
        <v>0</v>
      </c>
      <c r="K57" s="2" t="s">
        <v>158</v>
      </c>
      <c r="L57" s="2"/>
      <c r="M57" s="2"/>
      <c r="N57" s="1" t="s">
        <v>163</v>
      </c>
    </row>
    <row r="58" spans="1:14" ht="201.6" x14ac:dyDescent="0.3">
      <c r="A58" s="1" t="s">
        <v>41</v>
      </c>
      <c r="B58" s="1">
        <v>26</v>
      </c>
      <c r="C58" s="1" t="s">
        <v>156</v>
      </c>
      <c r="D58" s="1" t="s">
        <v>42</v>
      </c>
      <c r="E58" s="11" t="b">
        <v>1</v>
      </c>
      <c r="F58" s="1" t="b">
        <v>1</v>
      </c>
      <c r="G58" s="1" t="s">
        <v>11</v>
      </c>
      <c r="H58" s="1" t="s">
        <v>378</v>
      </c>
      <c r="I58" s="1" t="s">
        <v>100</v>
      </c>
      <c r="J58" s="5" t="b">
        <f>IF(OR(IF(ISERROR(VLOOKUP($C58,PNGs!J:J,1,FALSE)),FALSE,TRUE),IF(ISERROR(VLOOKUP($C58,PNGs!K:K,1,FALSE)),FALSE,TRUE),IF(ISERROR(VLOOKUP($C58,PNGs!L:L,1,FALSE)),FALSE,TRUE)), TRUE,FALSE)</f>
        <v>1</v>
      </c>
      <c r="K58" s="2" t="s">
        <v>379</v>
      </c>
      <c r="L58" s="2"/>
      <c r="M58" s="2"/>
      <c r="N58" s="1" t="s">
        <v>391</v>
      </c>
    </row>
    <row r="59" spans="1:14" x14ac:dyDescent="0.3">
      <c r="A59" s="9" t="s">
        <v>48</v>
      </c>
      <c r="B59" s="1">
        <v>29</v>
      </c>
      <c r="C59" s="9" t="s">
        <v>84</v>
      </c>
      <c r="D59" s="1" t="s">
        <v>55</v>
      </c>
      <c r="E59" s="1" t="b">
        <v>1</v>
      </c>
      <c r="F59" s="1" t="b">
        <v>1</v>
      </c>
      <c r="G59" s="1" t="s">
        <v>11</v>
      </c>
      <c r="H59" s="1" t="s">
        <v>383</v>
      </c>
      <c r="I59" s="1" t="s">
        <v>100</v>
      </c>
      <c r="J59" s="9" t="b">
        <f>IF(OR(IF(ISERROR(VLOOKUP($C59,PNGs!J:J,1,FALSE)),FALSE,TRUE),IF(ISERROR(VLOOKUP($C59,PNGs!K:K,1,FALSE)),FALSE,TRUE),IF(ISERROR(VLOOKUP($C59,PNGs!L:L,1,FALSE)),FALSE,TRUE)), TRUE,FALSE)</f>
        <v>0</v>
      </c>
      <c r="K59" s="1" t="s">
        <v>161</v>
      </c>
      <c r="L59" s="5" t="s">
        <v>851</v>
      </c>
      <c r="N59" s="9" t="s">
        <v>170</v>
      </c>
    </row>
    <row r="60" spans="1:14" ht="115.2" x14ac:dyDescent="0.3">
      <c r="A60" s="1" t="s">
        <v>41</v>
      </c>
      <c r="B60" s="1">
        <v>28</v>
      </c>
      <c r="C60" s="2" t="s">
        <v>158</v>
      </c>
      <c r="D60" s="1" t="s">
        <v>37</v>
      </c>
      <c r="E60" s="1" t="s">
        <v>37</v>
      </c>
      <c r="F60" s="1" t="b">
        <v>1</v>
      </c>
      <c r="G60" s="1" t="s">
        <v>11</v>
      </c>
      <c r="H60" s="1" t="s">
        <v>381</v>
      </c>
      <c r="I60" s="1" t="b">
        <v>1</v>
      </c>
      <c r="J60" s="5" t="b">
        <f>IF(OR(IF(ISERROR(VLOOKUP($C60,PNGs!J:J,1,FALSE)),FALSE,TRUE),IF(ISERROR(VLOOKUP($C60,PNGs!K:K,1,FALSE)),FALSE,TRUE),IF(ISERROR(VLOOKUP($C60,PNGs!L:L,1,FALSE)),FALSE,TRUE)), TRUE,FALSE)</f>
        <v>1</v>
      </c>
      <c r="K60" s="2" t="s">
        <v>158</v>
      </c>
      <c r="L60" s="5" t="s">
        <v>851</v>
      </c>
      <c r="M60" s="2"/>
      <c r="N60" s="1" t="s">
        <v>393</v>
      </c>
    </row>
    <row r="61" spans="1:14" ht="187.2" x14ac:dyDescent="0.3">
      <c r="A61" s="9" t="s">
        <v>48</v>
      </c>
      <c r="B61" s="11">
        <v>19</v>
      </c>
      <c r="C61" s="17" t="s">
        <v>119</v>
      </c>
      <c r="D61" s="1" t="s">
        <v>37</v>
      </c>
      <c r="E61" s="11" t="s">
        <v>37</v>
      </c>
      <c r="F61" s="1" t="b">
        <v>1</v>
      </c>
      <c r="G61" s="1" t="s">
        <v>11</v>
      </c>
      <c r="H61" s="1" t="s">
        <v>356</v>
      </c>
      <c r="I61" s="1" t="s">
        <v>100</v>
      </c>
      <c r="J61" s="9" t="b">
        <f>IF(OR(IF(ISERROR(VLOOKUP($C61,PNGs!J:J,1,FALSE)),FALSE,TRUE),IF(ISERROR(VLOOKUP($C61,PNGs!K:K,1,FALSE)),FALSE,TRUE),IF(ISERROR(VLOOKUP($C61,PNGs!L:L,1,FALSE)),FALSE,TRUE)), TRUE,FALSE)</f>
        <v>0</v>
      </c>
      <c r="K61" s="1" t="s">
        <v>119</v>
      </c>
      <c r="N61" s="9" t="s">
        <v>186</v>
      </c>
    </row>
    <row r="62" spans="1:14" x14ac:dyDescent="0.3">
      <c r="A62" s="9" t="s">
        <v>48</v>
      </c>
      <c r="B62" s="1">
        <v>29.3</v>
      </c>
      <c r="C62" s="9" t="s">
        <v>87</v>
      </c>
      <c r="D62" s="1" t="s">
        <v>55</v>
      </c>
      <c r="E62" s="1" t="b">
        <v>1</v>
      </c>
      <c r="F62" s="1" t="b">
        <v>1</v>
      </c>
      <c r="G62" s="1" t="s">
        <v>11</v>
      </c>
      <c r="H62" s="1" t="s">
        <v>383</v>
      </c>
      <c r="I62" s="1" t="s">
        <v>100</v>
      </c>
      <c r="J62" s="9" t="b">
        <f>IF(OR(IF(ISERROR(VLOOKUP($C62,PNGs!J:J,1,FALSE)),FALSE,TRUE),IF(ISERROR(VLOOKUP($C62,PNGs!K:K,1,FALSE)),FALSE,TRUE),IF(ISERROR(VLOOKUP($C62,PNGs!L:L,1,FALSE)),FALSE,TRUE)), TRUE,FALSE)</f>
        <v>0</v>
      </c>
      <c r="K62" s="1" t="s">
        <v>160</v>
      </c>
      <c r="N62" s="1" t="s">
        <v>169</v>
      </c>
    </row>
    <row r="63" spans="1:14" x14ac:dyDescent="0.3">
      <c r="A63" s="9" t="s">
        <v>48</v>
      </c>
      <c r="B63" s="1">
        <v>29.4</v>
      </c>
      <c r="C63" s="9" t="s">
        <v>88</v>
      </c>
      <c r="D63" s="1" t="s">
        <v>55</v>
      </c>
      <c r="E63" s="1" t="b">
        <v>1</v>
      </c>
      <c r="F63" s="1" t="b">
        <v>1</v>
      </c>
      <c r="G63" s="1" t="s">
        <v>11</v>
      </c>
      <c r="H63" s="1" t="s">
        <v>383</v>
      </c>
      <c r="I63" s="5" t="s">
        <v>100</v>
      </c>
      <c r="J63" s="9" t="b">
        <f>IF(OR(IF(ISERROR(VLOOKUP($C63,PNGs!J:J,1,FALSE)),FALSE,TRUE),IF(ISERROR(VLOOKUP($C63,PNGs!K:K,1,FALSE)),FALSE,TRUE),IF(ISERROR(VLOOKUP($C63,PNGs!L:L,1,FALSE)),FALSE,TRUE)), TRUE,FALSE)</f>
        <v>0</v>
      </c>
      <c r="K63" s="1" t="s">
        <v>160</v>
      </c>
      <c r="N63" s="1" t="s">
        <v>171</v>
      </c>
    </row>
    <row r="64" spans="1:14" ht="230.4" x14ac:dyDescent="0.3">
      <c r="A64" s="5" t="s">
        <v>41</v>
      </c>
      <c r="B64" s="1">
        <v>25.9</v>
      </c>
      <c r="C64" s="5" t="s">
        <v>385</v>
      </c>
      <c r="D64" s="5" t="s">
        <v>37</v>
      </c>
      <c r="E64" s="11" t="s">
        <v>37</v>
      </c>
      <c r="F64" s="1" t="b">
        <v>1</v>
      </c>
      <c r="G64" s="1" t="s">
        <v>11</v>
      </c>
      <c r="H64" s="1" t="s">
        <v>377</v>
      </c>
      <c r="I64" s="5" t="b">
        <v>1</v>
      </c>
      <c r="J64" s="16" t="b">
        <f>IF(OR(IF(ISERROR(VLOOKUP($C64,PNGs!J:J,1,FALSE)),FALSE,TRUE),IF(ISERROR(VLOOKUP($C64,PNGs!K:K,1,FALSE)),FALSE,TRUE),IF(ISERROR(VLOOKUP($C64,PNGs!L:L,1,FALSE)),FALSE,TRUE)), TRUE,FALSE)</f>
        <v>0</v>
      </c>
      <c r="K64" s="1" t="s">
        <v>385</v>
      </c>
      <c r="N64" s="1" t="s">
        <v>181</v>
      </c>
    </row>
    <row r="65" spans="1:14" ht="144" x14ac:dyDescent="0.3">
      <c r="A65" s="9" t="s">
        <v>48</v>
      </c>
      <c r="B65" s="1">
        <v>14</v>
      </c>
      <c r="C65" s="9" t="s">
        <v>81</v>
      </c>
      <c r="D65" s="1" t="s">
        <v>61</v>
      </c>
      <c r="E65" s="1" t="b">
        <v>1</v>
      </c>
      <c r="F65" s="1" t="b">
        <v>1</v>
      </c>
      <c r="G65" s="1" t="s">
        <v>11</v>
      </c>
      <c r="H65" s="1" t="s">
        <v>233</v>
      </c>
      <c r="I65" s="1" t="s">
        <v>100</v>
      </c>
      <c r="J65" s="5" t="b">
        <f>IF(OR(IF(ISERROR(VLOOKUP($C65,PNGs!J:J,1,FALSE)),FALSE,TRUE),IF(ISERROR(VLOOKUP($C65,PNGs!K:K,1,FALSE)),FALSE,TRUE),IF(ISERROR(VLOOKUP($C65,PNGs!L:L,1,FALSE)),FALSE,TRUE)), TRUE,FALSE)</f>
        <v>1</v>
      </c>
      <c r="K65" s="1" t="s">
        <v>106</v>
      </c>
      <c r="M65" s="9"/>
      <c r="N65" s="9" t="s">
        <v>188</v>
      </c>
    </row>
    <row r="66" spans="1:14" x14ac:dyDescent="0.3">
      <c r="A66" s="9" t="s">
        <v>48</v>
      </c>
      <c r="C66" s="9" t="s">
        <v>73</v>
      </c>
      <c r="D66" s="1" t="s">
        <v>65</v>
      </c>
      <c r="E66" s="1" t="b">
        <v>1</v>
      </c>
      <c r="F66" s="1" t="b">
        <v>0</v>
      </c>
      <c r="I66" s="1" t="s">
        <v>53</v>
      </c>
      <c r="J66" s="9" t="b">
        <f>IF(OR(IF(ISERROR(VLOOKUP($C66,PNGs!J:J,1,FALSE)),FALSE,TRUE),IF(ISERROR(VLOOKUP($C66,PNGs!K:K,1,FALSE)),FALSE,TRUE),IF(ISERROR(VLOOKUP($C66,PNGs!L:L,1,FALSE)),FALSE,TRUE)), TRUE,FALSE)</f>
        <v>0</v>
      </c>
      <c r="K66" s="1" t="s">
        <v>53</v>
      </c>
      <c r="N66" s="9" t="s">
        <v>172</v>
      </c>
    </row>
    <row r="67" spans="1:14" x14ac:dyDescent="0.3">
      <c r="A67" s="9" t="s">
        <v>48</v>
      </c>
      <c r="C67" s="9" t="s">
        <v>74</v>
      </c>
      <c r="D67" s="1" t="s">
        <v>66</v>
      </c>
      <c r="E67" s="1" t="b">
        <v>1</v>
      </c>
      <c r="F67" s="1" t="b">
        <v>0</v>
      </c>
      <c r="G67" s="5"/>
      <c r="I67" s="1" t="s">
        <v>53</v>
      </c>
      <c r="J67" s="9" t="b">
        <f>IF(OR(IF(ISERROR(VLOOKUP($C67,PNGs!J:J,1,FALSE)),FALSE,TRUE),IF(ISERROR(VLOOKUP($C67,PNGs!K:K,1,FALSE)),FALSE,TRUE),IF(ISERROR(VLOOKUP($C67,PNGs!L:L,1,FALSE)),FALSE,TRUE)), TRUE,FALSE)</f>
        <v>0</v>
      </c>
      <c r="K67" s="1" t="s">
        <v>53</v>
      </c>
      <c r="N67" s="9" t="s">
        <v>172</v>
      </c>
    </row>
    <row r="68" spans="1:14" x14ac:dyDescent="0.3">
      <c r="A68" s="9" t="s">
        <v>48</v>
      </c>
      <c r="C68" s="9" t="s">
        <v>83</v>
      </c>
      <c r="D68" s="1" t="s">
        <v>61</v>
      </c>
      <c r="E68" s="1" t="b">
        <v>1</v>
      </c>
      <c r="F68" s="1" t="b">
        <v>0</v>
      </c>
      <c r="G68" s="5"/>
      <c r="I68" s="1" t="s">
        <v>53</v>
      </c>
      <c r="J68" s="9" t="b">
        <f>IF(OR(IF(ISERROR(VLOOKUP($C68,PNGs!J:J,1,FALSE)),FALSE,TRUE),IF(ISERROR(VLOOKUP($C68,PNGs!K:K,1,FALSE)),FALSE,TRUE),IF(ISERROR(VLOOKUP($C68,PNGs!L:L,1,FALSE)),FALSE,TRUE)), TRUE,FALSE)</f>
        <v>0</v>
      </c>
      <c r="K68" s="5" t="s">
        <v>53</v>
      </c>
      <c r="N68" s="9" t="s">
        <v>172</v>
      </c>
    </row>
    <row r="69" spans="1:14" x14ac:dyDescent="0.3">
      <c r="A69" s="9" t="s">
        <v>48</v>
      </c>
      <c r="C69" s="9" t="s">
        <v>75</v>
      </c>
      <c r="D69" s="1" t="s">
        <v>67</v>
      </c>
      <c r="E69" s="1" t="b">
        <v>1</v>
      </c>
      <c r="F69" s="1" t="b">
        <v>0</v>
      </c>
      <c r="G69" s="5"/>
      <c r="I69" s="1" t="s">
        <v>53</v>
      </c>
      <c r="J69" s="9" t="b">
        <f>IF(OR(IF(ISERROR(VLOOKUP($C69,PNGs!J:J,1,FALSE)),FALSE,TRUE),IF(ISERROR(VLOOKUP($C69,PNGs!K:K,1,FALSE)),FALSE,TRUE),IF(ISERROR(VLOOKUP($C69,PNGs!L:L,1,FALSE)),FALSE,TRUE)), TRUE,FALSE)</f>
        <v>0</v>
      </c>
      <c r="K69" s="1" t="s">
        <v>53</v>
      </c>
      <c r="N69" s="9" t="s">
        <v>172</v>
      </c>
    </row>
    <row r="70" spans="1:14" x14ac:dyDescent="0.3">
      <c r="A70" s="9" t="s">
        <v>48</v>
      </c>
      <c r="C70" s="9" t="s">
        <v>76</v>
      </c>
      <c r="D70" s="5" t="s">
        <v>68</v>
      </c>
      <c r="E70" s="5" t="b">
        <v>1</v>
      </c>
      <c r="F70" s="5" t="b">
        <v>0</v>
      </c>
      <c r="G70" s="5"/>
      <c r="I70" s="1" t="s">
        <v>53</v>
      </c>
      <c r="J70" s="9" t="b">
        <f>IF(OR(IF(ISERROR(VLOOKUP($C70,PNGs!J:J,1,FALSE)),FALSE,TRUE),IF(ISERROR(VLOOKUP($C70,PNGs!K:K,1,FALSE)),FALSE,TRUE),IF(ISERROR(VLOOKUP($C70,PNGs!L:L,1,FALSE)),FALSE,TRUE)), TRUE,FALSE)</f>
        <v>0</v>
      </c>
      <c r="K70" s="1" t="s">
        <v>53</v>
      </c>
      <c r="N70" s="9" t="s">
        <v>172</v>
      </c>
    </row>
    <row r="71" spans="1:14" x14ac:dyDescent="0.3">
      <c r="A71" s="9" t="s">
        <v>48</v>
      </c>
      <c r="C71" s="9" t="s">
        <v>77</v>
      </c>
      <c r="D71" s="5" t="s">
        <v>69</v>
      </c>
      <c r="E71" s="5" t="b">
        <v>1</v>
      </c>
      <c r="F71" s="5" t="b">
        <v>0</v>
      </c>
      <c r="G71" s="5"/>
      <c r="I71" s="1" t="s">
        <v>53</v>
      </c>
      <c r="J71" s="9" t="b">
        <f>IF(OR(IF(ISERROR(VLOOKUP($C71,PNGs!J:J,1,FALSE)),FALSE,TRUE),IF(ISERROR(VLOOKUP($C71,PNGs!K:K,1,FALSE)),FALSE,TRUE),IF(ISERROR(VLOOKUP($C71,PNGs!L:L,1,FALSE)),FALSE,TRUE)), TRUE,FALSE)</f>
        <v>0</v>
      </c>
      <c r="K71" s="1" t="s">
        <v>53</v>
      </c>
      <c r="N71" s="9" t="s">
        <v>172</v>
      </c>
    </row>
    <row r="72" spans="1:14" x14ac:dyDescent="0.3">
      <c r="A72" s="9" t="s">
        <v>48</v>
      </c>
      <c r="C72" s="9" t="s">
        <v>78</v>
      </c>
      <c r="D72" s="5" t="s">
        <v>70</v>
      </c>
      <c r="E72" s="5" t="b">
        <v>1</v>
      </c>
      <c r="F72" s="5" t="b">
        <v>0</v>
      </c>
      <c r="G72" s="5"/>
      <c r="H72" s="5"/>
      <c r="I72" s="1" t="s">
        <v>53</v>
      </c>
      <c r="J72" s="9" t="b">
        <f>IF(OR(IF(ISERROR(VLOOKUP($C72,PNGs!J:J,1,FALSE)),FALSE,TRUE),IF(ISERROR(VLOOKUP($C72,PNGs!K:K,1,FALSE)),FALSE,TRUE),IF(ISERROR(VLOOKUP($C72,PNGs!L:L,1,FALSE)),FALSE,TRUE)), TRUE,FALSE)</f>
        <v>0</v>
      </c>
      <c r="K72" s="5" t="s">
        <v>53</v>
      </c>
      <c r="N72" s="9" t="s">
        <v>172</v>
      </c>
    </row>
    <row r="73" spans="1:14" x14ac:dyDescent="0.3">
      <c r="A73" s="9" t="s">
        <v>48</v>
      </c>
      <c r="C73" s="9" t="s">
        <v>79</v>
      </c>
      <c r="D73" s="5" t="s">
        <v>71</v>
      </c>
      <c r="E73" s="5" t="b">
        <v>1</v>
      </c>
      <c r="F73" s="5" t="b">
        <v>0</v>
      </c>
      <c r="G73" s="5"/>
      <c r="H73" s="5"/>
      <c r="I73" s="1" t="s">
        <v>53</v>
      </c>
      <c r="J73" s="9" t="b">
        <f>IF(OR(IF(ISERROR(VLOOKUP($C73,PNGs!J:J,1,FALSE)),FALSE,TRUE),IF(ISERROR(VLOOKUP($C73,PNGs!K:K,1,FALSE)),FALSE,TRUE),IF(ISERROR(VLOOKUP($C73,PNGs!L:L,1,FALSE)),FALSE,TRUE)), TRUE,FALSE)</f>
        <v>0</v>
      </c>
      <c r="K73" s="5" t="s">
        <v>53</v>
      </c>
      <c r="N73" s="9" t="s">
        <v>172</v>
      </c>
    </row>
    <row r="74" spans="1:14" x14ac:dyDescent="0.3">
      <c r="A74" s="9" t="s">
        <v>48</v>
      </c>
      <c r="C74" s="9" t="s">
        <v>80</v>
      </c>
      <c r="D74" s="5" t="s">
        <v>72</v>
      </c>
      <c r="E74" s="5" t="b">
        <v>1</v>
      </c>
      <c r="F74" s="5" t="b">
        <v>0</v>
      </c>
      <c r="G74" s="5"/>
      <c r="H74" s="5"/>
      <c r="I74" s="1" t="s">
        <v>53</v>
      </c>
      <c r="J74" s="9" t="b">
        <f>IF(OR(IF(ISERROR(VLOOKUP($C74,PNGs!J:J,1,FALSE)),FALSE,TRUE),IF(ISERROR(VLOOKUP($C74,PNGs!K:K,1,FALSE)),FALSE,TRUE),IF(ISERROR(VLOOKUP($C74,PNGs!L:L,1,FALSE)),FALSE,TRUE)), TRUE,FALSE)</f>
        <v>0</v>
      </c>
      <c r="K74" s="5" t="s">
        <v>53</v>
      </c>
      <c r="N74" s="9" t="s">
        <v>172</v>
      </c>
    </row>
  </sheetData>
  <autoFilter ref="A1:N74" xr:uid="{12427484-F81D-4EB7-8D76-CF185358D125}"/>
  <sortState xmlns:xlrd2="http://schemas.microsoft.com/office/spreadsheetml/2017/richdata2" ref="A2:N74">
    <sortCondition ref="B2:B74"/>
    <sortCondition ref="C2:C74"/>
  </sortState>
  <phoneticPr fontId="2" type="noConversion"/>
  <conditionalFormatting sqref="B1:B1048576">
    <cfRule type="duplicateValues" dxfId="3" priority="1"/>
  </conditionalFormatting>
  <conditionalFormatting sqref="C1:C1048576">
    <cfRule type="duplicateValues" dxfId="2" priority="2"/>
  </conditionalFormatting>
  <hyperlinks>
    <hyperlink ref="K10" r:id="rId1" xr:uid="{170A2529-901A-4B5E-98B7-2557ED48612A}"/>
    <hyperlink ref="K8" r:id="rId2" xr:uid="{AE871640-2851-4E95-8A4F-8B56A1682E66}"/>
    <hyperlink ref="K26" r:id="rId3" location="download" display="https://mmr2020.srhr.org/data#download" xr:uid="{252AA300-298F-41D2-84CE-E796E11167C4}"/>
    <hyperlink ref="K29" r:id="rId4" location="download" display="https://mmr2020.srhr.org/data#download" xr:uid="{AD41B907-6C6A-440D-BAFD-EAC934A9A9A6}"/>
    <hyperlink ref="K28" r:id="rId5" xr:uid="{15BD43CA-0A2A-41F5-9E2E-5800670DC9FD}"/>
    <hyperlink ref="K24" r:id="rId6" xr:uid="{0E3E5944-DAF7-409B-86E2-7E273CC708F3}"/>
    <hyperlink ref="K38" r:id="rId7" display="https://xmart-api-public.who.int/MNCAH/MCA_FACT_DATA?$filter=INDICATOR_FK%20in%20(%22AGE_OVER80PCT%22)&amp;$select=INDICATOR_FK,YEAR_FK,COUNTRY_FK,COUNTRY_FK__CODE,ValueString,ValueNumeric,ValueLow,ValueHigh,ValueStdDev,ValueStdErr,Comments,EffectiveDate,EndDate,Status,AGEGROUP_FK,AGEGROUP_FK__CODE,Answer_FK,CauseGHE_FK,CauseGHE_FK__CODE,CauseGHEChild_FK,CauseGHEChild_FK__CODE,CauseENVCAUSE_FK,CauseENVCAUSE_FK__CODE,DatasourceLong,DatasourceShort,ImpSan_FK,ImpWater_FK,LivingArrangements_FK,MEASDEF_FK,MOTHEREDUCATION_FK,ProficiencyLevel_FK,ResideLTA_FK,RESIDENCEAREA_FK,SABDefinition_FK,SEVERITY_FK,SEVERITYHEARING_FK,SEVERITYVISION_FK,SEX_FK,WEALTHQUINTILE_FK" xr:uid="{2C17181F-6F3A-4F0A-951E-9987DDB9B7CA}"/>
    <hyperlink ref="K37" r:id="rId8" display="https://xmart-api-public.who.int/MNCAH/MCA_FACT_DATA?$filter=INDICATOR_FK%20in%20(%22AGE_OVER60PCT%22)&amp;$select=INDICATOR_FK,YEAR_FK,COUNTRY_FK,COUNTRY_FK__CODE,ValueString,ValueNumeric,ValueLow,ValueHigh,ValueStdDev,ValueStdErr,Comments,EffectiveDate,EndDate,Status,AGEGROUP_FK,AGEGROUP_FK__CODE,Answer_FK,CauseGHE_FK,CauseGHE_FK__CODE,CauseGHEChild_FK,CauseGHEChild_FK__CODE,CauseENVCAUSE_FK,CauseENVCAUSE_FK__CODE,DatasourceLong,DatasourceShort,ImpSan_FK,ImpWater_FK,LivingArrangements_FK,MEASDEF_FK,MOTHEREDUCATION_FK,ProficiencyLevel_FK,ResideLTA_FK,RESIDENCEAREA_FK,SABDefinition_FK,SEVERITY_FK,SEVERITYHEARING_FK,SEVERITYVISION_FK,SEX_FK,WEALTHQUINTILE_FK" xr:uid="{DBC5340A-A8A5-42A0-93C6-F33B8E0D8CEF}"/>
    <hyperlink ref="K60" r:id="rId9" xr:uid="{3995BE02-A4ED-4872-8352-AB1804E83E36}"/>
    <hyperlink ref="K57" r:id="rId10" xr:uid="{4FE5AC2D-8AD5-4358-A8B9-1CC0D02439B5}"/>
    <hyperlink ref="K55" r:id="rId11" xr:uid="{BA32BF57-736D-469D-8C58-64644B313B24}"/>
    <hyperlink ref="K35" r:id="rId12" xr:uid="{F913FA76-9C26-4504-BB6A-E108FBA6DEBF}"/>
    <hyperlink ref="K58" r:id="rId13" xr:uid="{45E582CD-9AC9-4F0C-9C39-3FE7CC1830A1}"/>
    <hyperlink ref="C10" r:id="rId14" xr:uid="{1D1DDF87-C543-43D5-94E7-E852AE5E299B}"/>
    <hyperlink ref="C28" r:id="rId15" xr:uid="{8E061595-B431-4F12-9C60-392C8F1DAD54}"/>
    <hyperlink ref="C35" r:id="rId16" xr:uid="{C78D1DD3-D8E4-4148-BDA3-002D88F19E3D}"/>
    <hyperlink ref="C37" r:id="rId17" display="https://xmart-api-public.who.int/MNCAH/MCA_FACT_DATA?$filter=INDICATOR_FK%20in%20(%22AGE_OVER60PCT%22)&amp;$select=INDICATOR_FK,YEAR_FK,COUNTRY_FK,COUNTRY_FK__CODE,ValueString,ValueNumeric,ValueLow,ValueHigh,ValueStdDev,ValueStdErr,Comments,EffectiveDate,EndDate,Status,AGEGROUP_FK,AGEGROUP_FK__CODE,Answer_FK,CauseGHE_FK,CauseGHE_FK__CODE,CauseGHEChild_FK,CauseGHEChild_FK__CODE,CauseENVCAUSE_FK,CauseENVCAUSE_FK__CODE,DatasourceLong,DatasourceShort,ImpSan_FK,ImpWater_FK,LivingArrangements_FK,MEASDEF_FK,MOTHEREDUCATION_FK,ProficiencyLevel_FK,ResideLTA_FK,RESIDENCEAREA_FK,SABDefinition_FK,SEVERITY_FK,SEVERITYHEARING_FK,SEVERITYVISION_FK,SEX_FK,WEALTHQUINTILE_FK" xr:uid="{143D40F7-BB8D-46C6-938B-90CC1924043C}"/>
    <hyperlink ref="C38" r:id="rId18" display="https://xmart-api-public.who.int/MNCAH/MCA_FACT_DATA?$filter=INDICATOR_FK%20in%20(%22AGE_OVER80PCT%22)&amp;$select=INDICATOR_FK,YEAR_FK,COUNTRY_FK,COUNTRY_FK__CODE,ValueString,ValueNumeric,ValueLow,ValueHigh,ValueStdDev,ValueStdErr,Comments,EffectiveDate,EndDate,Status,AGEGROUP_FK,AGEGROUP_FK__CODE,Answer_FK,CauseGHE_FK,CauseGHE_FK__CODE,CauseGHEChild_FK,CauseGHEChild_FK__CODE,CauseENVCAUSE_FK,CauseENVCAUSE_FK__CODE,DatasourceLong,DatasourceShort,ImpSan_FK,ImpWater_FK,LivingArrangements_FK,MEASDEF_FK,MOTHEREDUCATION_FK,ProficiencyLevel_FK,ResideLTA_FK,RESIDENCEAREA_FK,SABDefinition_FK,SEVERITY_FK,SEVERITYHEARING_FK,SEVERITYVISION_FK,SEX_FK,WEALTHQUINTILE_FK" xr:uid="{4C1682A2-1E67-4AA8-8F0E-3B9713B819C8}"/>
    <hyperlink ref="C60" r:id="rId19" xr:uid="{D0BEDD35-46D6-494C-BC1D-54722E9277F9}"/>
    <hyperlink ref="K30" r:id="rId20" location="download" display="https://mmr2020.srhr.org/data#download" xr:uid="{64F266DF-0980-4D73-BC02-1F95E5E3E4D8}"/>
    <hyperlink ref="C51" r:id="rId21" display="https://xmart-api-public.who.int/MNCAH/MCA_FACT_DATA?$filter=INDICATOR_FK%20in%20(%22AC_ANEMIAPW%22,%22AC_ANEMIAWRA%22,%22BC_LBW%22)&amp;$select=INDICATOR_FK,YEAR_FK,COUNTRY_FK,COUNTRY_FK__CODE,ValueNumeric,ValueLow,ValueHigh,ValueStdDev,ValueStdErr,Comments,AGEGROUP_FK,Answer_FK,CauseGHE_FK,CauseGHEChild_FK,CauseENVCAUSE_FK,DatasourceLong,DatasourceShort,ImpSan_FK,ImpWater_FK,LivingArrangements_FK,MEASDEF_FK,MOTHEREDUCATION_FK,ProficiencyLevel_FK,ResideLTA_FK,RESIDENCEAREA_FK,SABDefinition_FK,SEVERITY_FK,SEVERITYHEARING_FK,SEVERITYVISION_FK,SEX_FK,WEALTHQUINTILE_FK" xr:uid="{ACA77260-58E0-4E3B-9908-584E5D4887BD}"/>
    <hyperlink ref="K51" r:id="rId22" display="https://xmart-api-public.who.int/MNCAH/MCA_FACT_DATA?$filter=INDICATOR_FK%20in%20(%22AC_ANEMIAPW%22,%22AC_ANEMIAWRA%22,%22BC_LBW%22)&amp;$select=INDICATOR_FK,YEAR_FK,COUNTRY_FK,COUNTRY_FK__CODE,ValueNumeric,ValueLow,ValueHigh,ValueStdDev,ValueStdErr,Comments,AGEGROUP_FK,Answer_FK,CauseGHE_FK,CauseGHEChild_FK,CauseENVCAUSE_FK,DatasourceLong,DatasourceShort,ImpSan_FK,ImpWater_FK,LivingArrangements_FK,MEASDEF_FK,MOTHEREDUCATION_FK,ProficiencyLevel_FK,ResideLTA_FK,RESIDENCEAREA_FK,SABDefinition_FK,SEVERITY_FK,SEVERITYHEARING_FK,SEVERITYVISION_FK,SEX_FK,WEALTHQUINTILE_FK" xr:uid="{4761C3F7-20F5-4718-A702-FED0B502A7AF}"/>
    <hyperlink ref="K19" r:id="rId23" display="https://xmart-api-public.who.int/MNCAH/MCA_FACT_DATA?$filter=INDICATOR_FK%20in%20(%22AC_ANEMIAPW%22,%22AC_ANEMIAWRA%22,%22BC_LBW%22)&amp;$select=INDICATOR_FK,YEAR_FK,COUNTRY_FK,COUNTRY_FK__CODE,ValueNumeric,ValueLow,ValueHigh,ValueStdDev,ValueStdErr,Comments,AGEGROUP_FK,Answer_FK,CauseGHE_FK,CauseGHEChild_FK,CauseENVCAUSE_FK,DatasourceLong,DatasourceShort,ImpSan_FK,ImpWater_FK,LivingArrangements_FK,MEASDEF_FK,MOTHEREDUCATION_FK,ProficiencyLevel_FK,ResideLTA_FK,RESIDENCEAREA_FK,SABDefinition_FK,SEVERITY_FK,SEVERITYHEARING_FK,SEVERITYVISION_FK,SEX_FK,WEALTHQUINTILE_FK" xr:uid="{EE3CAEA7-9560-43FC-BBA9-8FCFAC850013}"/>
    <hyperlink ref="K15" r:id="rId24" display="https://xmart-api-public.who.int/MNCAH/MCA_FACT_DATA?$filter=INDICATOR_FK%20in%20(%22AC_ANEMIAPW%22,%22AC_ANEMIAWRA%22,%22BC_LBW%22)&amp;$select=INDICATOR_FK,YEAR_FK,COUNTRY_FK,COUNTRY_FK__CODE,ValueNumeric,ValueLow,ValueHigh,ValueStdDev,ValueStdErr,Comments,AGEGROUP_FK,Answer_FK,CauseGHE_FK,CauseGHEChild_FK,CauseENVCAUSE_FK,DatasourceLong,DatasourceShort,ImpSan_FK,ImpWater_FK,LivingArrangements_FK,MEASDEF_FK,MOTHEREDUCATION_FK,ProficiencyLevel_FK,ResideLTA_FK,RESIDENCEAREA_FK,SABDefinition_FK,SEVERITY_FK,SEVERITYHEARING_FK,SEVERITYVISION_FK,SEX_FK,WEALTHQUINTILE_FK" xr:uid="{DEC9CA8B-3B87-4BAC-862A-BC6698203F2F}"/>
    <hyperlink ref="L10" r:id="rId25" xr:uid="{A6DBF34A-9F8E-4A93-BB92-D08272F55C14}"/>
    <hyperlink ref="C61" r:id="rId26" display="https://xmart-api-public.who.int/MNCAH/MCA_FACT_DATA?$filter=INDICATOR_FK%20in%20(%22AC_ANEMIAPW%22,%22AC_ANEMIAWRA%22,%22BC_LBW%22)&amp;$select=INDICATOR_FK,YEAR_FK,COUNTRY_FK,COUNTRY_FK__CODE,ValueNumeric,ValueLow,ValueHigh,ValueStdDev,ValueStdErr,Comments,AGEGROUP_FK,Answer_FK,CauseGHE_FK,CauseGHEChild_FK,CauseENVCAUSE_FK,DatasourceLong,DatasourceShort,ImpSan_FK,ImpWater_FK,LivingArrangements_FK,MEASDEF_FK,MOTHEREDUCATION_FK,ProficiencyLevel_FK,ResideLTA_FK,RESIDENCEAREA_FK,SABDefinition_FK,SEVERITY_FK,SEVERITYHEARING_FK,SEVERITYVISION_FK,SEX_FK,WEALTHQUINTILE_FK" xr:uid="{436F630C-EAA2-495B-9089-F962DA8238B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D7929-BE98-4219-BF9A-ADC46AB09EA1}">
  <sheetPr filterMode="1"/>
  <dimension ref="A1:M196"/>
  <sheetViews>
    <sheetView tabSelected="1" zoomScale="85" zoomScaleNormal="85" workbookViewId="0">
      <pane xSplit="2" ySplit="1" topLeftCell="E30" activePane="bottomRight" state="frozen"/>
      <selection pane="topRight" activeCell="C1" sqref="C1"/>
      <selection pane="bottomLeft" activeCell="A2" sqref="A2"/>
      <selection pane="bottomRight" activeCell="E215" sqref="E215"/>
    </sheetView>
  </sheetViews>
  <sheetFormatPr defaultColWidth="110" defaultRowHeight="14.4" x14ac:dyDescent="0.3"/>
  <cols>
    <col min="1" max="1" width="9.44140625" style="10" customWidth="1"/>
    <col min="2" max="2" width="50" style="11" bestFit="1" customWidth="1"/>
    <col min="3" max="3" width="19.109375" style="11" bestFit="1" customWidth="1"/>
    <col min="4" max="4" width="19.88671875" style="11" bestFit="1" customWidth="1"/>
    <col min="5" max="7" width="19.88671875" style="11" customWidth="1"/>
    <col min="8" max="8" width="12.5546875" style="10" bestFit="1" customWidth="1"/>
    <col min="9" max="9" width="25.109375" style="10" bestFit="1" customWidth="1"/>
    <col min="10" max="10" width="113.33203125" style="10" customWidth="1"/>
    <col min="11" max="11" width="56.109375" style="10" bestFit="1" customWidth="1"/>
    <col min="12" max="12" width="14.44140625" style="10" bestFit="1" customWidth="1"/>
    <col min="13" max="13" width="56.109375" style="10" customWidth="1"/>
    <col min="14" max="16384" width="110" style="10"/>
  </cols>
  <sheetData>
    <row r="1" spans="1:13" s="6" customFormat="1" ht="28.8" x14ac:dyDescent="0.3">
      <c r="A1" s="5" t="s">
        <v>96</v>
      </c>
      <c r="B1" s="6" t="s">
        <v>177</v>
      </c>
      <c r="C1" s="6" t="s">
        <v>194</v>
      </c>
      <c r="D1" s="5" t="s">
        <v>63</v>
      </c>
      <c r="E1" s="5" t="s">
        <v>689</v>
      </c>
      <c r="F1" s="5" t="s">
        <v>690</v>
      </c>
      <c r="G1" s="5" t="s">
        <v>603</v>
      </c>
      <c r="H1" s="5" t="s">
        <v>192</v>
      </c>
      <c r="I1" s="5" t="s">
        <v>193</v>
      </c>
      <c r="J1" s="5" t="s">
        <v>195</v>
      </c>
      <c r="K1" s="5" t="s">
        <v>196</v>
      </c>
      <c r="L1" s="5" t="s">
        <v>197</v>
      </c>
      <c r="M1" s="5" t="s">
        <v>20</v>
      </c>
    </row>
    <row r="2" spans="1:13" s="6" customFormat="1" hidden="1" x14ac:dyDescent="0.3">
      <c r="A2" s="5">
        <v>0</v>
      </c>
      <c r="B2" s="6" t="s">
        <v>37</v>
      </c>
      <c r="C2" s="6" t="s">
        <v>37</v>
      </c>
      <c r="D2" s="5" t="s">
        <v>37</v>
      </c>
      <c r="E2" s="5" t="e">
        <f>INDEX('Slides+PNGs'!$H:H,MATCH($B2,'Slides+PNGs'!M:M,0))</f>
        <v>#N/A</v>
      </c>
      <c r="F2" s="5" t="e">
        <f>INDEX('Slides+PNGs'!$I:I,MATCH($B2,'Slides+PNGs'!M:M,0))</f>
        <v>#N/A</v>
      </c>
      <c r="G2" s="5" t="e">
        <f>INDEX('Slides+PNGs'!$L:L,MATCH($B2,'Slides+PNGs'!M:M,0))</f>
        <v>#N/A</v>
      </c>
      <c r="H2" s="5" t="s">
        <v>37</v>
      </c>
      <c r="I2" s="5" t="s">
        <v>37</v>
      </c>
      <c r="J2" s="5" t="s">
        <v>37</v>
      </c>
      <c r="K2" s="5" t="s">
        <v>37</v>
      </c>
      <c r="L2" s="5" t="s">
        <v>37</v>
      </c>
      <c r="M2" s="5"/>
    </row>
    <row r="3" spans="1:13" s="6" customFormat="1" hidden="1" x14ac:dyDescent="0.3">
      <c r="A3" s="5">
        <v>1</v>
      </c>
      <c r="B3" s="10" t="s">
        <v>198</v>
      </c>
      <c r="C3" s="10" t="b">
        <f>IF(ISERROR(VLOOKUP(B3,'Slides+PNGs'!$M:$M,1,FALSE)),FALSE,TRUE)</f>
        <v>1</v>
      </c>
      <c r="D3" s="5" t="b">
        <v>1</v>
      </c>
      <c r="E3" s="5" t="str">
        <f>INDEX('Slides+PNGs'!$H:H,MATCH($B3,'Slides+PNGs'!M:M,0))</f>
        <v>Dodged</v>
      </c>
      <c r="F3" s="5" t="str">
        <f>INDEX('Slides+PNGs'!$I:I,MATCH($B3,'Slides+PNGs'!M:M,0))</f>
        <v>N/A</v>
      </c>
      <c r="G3" s="5">
        <f>INDEX('Slides+PNGs'!$L:L,MATCH($B3,'Slides+PNGs'!M:M,0))</f>
        <v>0</v>
      </c>
      <c r="H3" s="5" t="s">
        <v>11</v>
      </c>
      <c r="I3" s="5" t="s">
        <v>199</v>
      </c>
      <c r="J3" s="5" t="s">
        <v>43</v>
      </c>
      <c r="K3" s="5"/>
      <c r="L3" s="5"/>
      <c r="M3" s="11"/>
    </row>
    <row r="4" spans="1:13" s="6" customFormat="1" hidden="1" x14ac:dyDescent="0.3">
      <c r="A4" s="5">
        <v>2</v>
      </c>
      <c r="B4" s="6" t="s">
        <v>18</v>
      </c>
      <c r="C4" s="6" t="b">
        <f>IF(ISERROR(VLOOKUP(B4,'Slides+PNGs'!$M:$M,1,FALSE)),FALSE,TRUE)</f>
        <v>1</v>
      </c>
      <c r="D4" s="5" t="b">
        <v>1</v>
      </c>
      <c r="E4" s="5" t="str">
        <f>INDEX('Slides+PNGs'!$H:H,MATCH($B4,'Slides+PNGs'!M:M,0))</f>
        <v>Dodged</v>
      </c>
      <c r="F4" s="5" t="str">
        <f>INDEX('Slides+PNGs'!$I:I,MATCH($B4,'Slides+PNGs'!M:M,0))</f>
        <v>N/A</v>
      </c>
      <c r="G4" s="5">
        <f>INDEX('Slides+PNGs'!$L:L,MATCH($B4,'Slides+PNGs'!M:M,0))</f>
        <v>0</v>
      </c>
      <c r="H4" s="5" t="s">
        <v>11</v>
      </c>
      <c r="I4" s="5" t="s">
        <v>199</v>
      </c>
      <c r="J4" s="5" t="s">
        <v>43</v>
      </c>
      <c r="K4" s="5"/>
      <c r="L4" s="5"/>
      <c r="M4" s="5"/>
    </row>
    <row r="5" spans="1:13" s="6" customFormat="1" hidden="1" x14ac:dyDescent="0.3">
      <c r="A5" s="5">
        <v>3</v>
      </c>
      <c r="B5" s="4" t="s">
        <v>200</v>
      </c>
      <c r="C5" s="4" t="b">
        <f>IF(ISERROR(VLOOKUP(B5,'Slides+PNGs'!$M:$M,1,FALSE)),FALSE,TRUE)</f>
        <v>1</v>
      </c>
      <c r="D5" s="5" t="b">
        <v>1</v>
      </c>
      <c r="E5" s="5" t="str">
        <f>INDEX('Slides+PNGs'!$H:H,MATCH($B5,'Slides+PNGs'!M:M,0))</f>
        <v>Dodged</v>
      </c>
      <c r="F5" s="5" t="str">
        <f>INDEX('Slides+PNGs'!$I:I,MATCH($B5,'Slides+PNGs'!M:M,0))</f>
        <v>N/A</v>
      </c>
      <c r="G5" s="5">
        <f>INDEX('Slides+PNGs'!$L:L,MATCH($B5,'Slides+PNGs'!M:M,0))</f>
        <v>0</v>
      </c>
      <c r="H5" s="5" t="s">
        <v>11</v>
      </c>
      <c r="I5" s="5" t="s">
        <v>201</v>
      </c>
      <c r="J5" s="5" t="s">
        <v>43</v>
      </c>
      <c r="K5" s="5"/>
      <c r="L5" s="5"/>
      <c r="M5" s="9" t="s">
        <v>678</v>
      </c>
    </row>
    <row r="6" spans="1:13" s="6" customFormat="1" hidden="1" x14ac:dyDescent="0.3">
      <c r="A6" s="5">
        <v>4</v>
      </c>
      <c r="B6" s="6" t="s">
        <v>19</v>
      </c>
      <c r="C6" s="6" t="b">
        <f>IF(ISERROR(VLOOKUP(B6,'Slides+PNGs'!$M:$M,1,FALSE)),FALSE,TRUE)</f>
        <v>1</v>
      </c>
      <c r="D6" s="5" t="b">
        <v>1</v>
      </c>
      <c r="E6" s="5" t="str">
        <f>INDEX('Slides+PNGs'!$H:H,MATCH($B6,'Slides+PNGs'!M:M,0))</f>
        <v>Dodged</v>
      </c>
      <c r="F6" s="5" t="str">
        <f>INDEX('Slides+PNGs'!$I:I,MATCH($B6,'Slides+PNGs'!M:M,0))</f>
        <v>N/A</v>
      </c>
      <c r="G6" s="5">
        <f>INDEX('Slides+PNGs'!$L:L,MATCH($B6,'Slides+PNGs'!M:M,0))</f>
        <v>0</v>
      </c>
      <c r="H6" s="5" t="s">
        <v>11</v>
      </c>
      <c r="I6" s="5" t="s">
        <v>202</v>
      </c>
      <c r="J6" s="5" t="s">
        <v>43</v>
      </c>
      <c r="K6" s="5"/>
      <c r="L6" s="5"/>
      <c r="M6" s="5"/>
    </row>
    <row r="7" spans="1:13" s="6" customFormat="1" hidden="1" x14ac:dyDescent="0.3">
      <c r="A7" s="5">
        <v>5</v>
      </c>
      <c r="B7" s="6" t="s">
        <v>4</v>
      </c>
      <c r="C7" s="6" t="b">
        <f>IF(ISERROR(VLOOKUP(B7,'Slides+PNGs'!$M:$M,1,FALSE)),FALSE,TRUE)</f>
        <v>1</v>
      </c>
      <c r="D7" s="5" t="b">
        <v>1</v>
      </c>
      <c r="E7" s="5" t="str">
        <f>INDEX('Slides+PNGs'!$H:H,MATCH($B7,'Slides+PNGs'!M:M,0))</f>
        <v>Dodged</v>
      </c>
      <c r="F7" s="5" t="str">
        <f>INDEX('Slides+PNGs'!$I:I,MATCH($B7,'Slides+PNGs'!M:M,0))</f>
        <v>N/A</v>
      </c>
      <c r="G7" s="5">
        <f>INDEX('Slides+PNGs'!$L:L,MATCH($B7,'Slides+PNGs'!M:M,0))</f>
        <v>0</v>
      </c>
      <c r="H7" s="5" t="s">
        <v>11</v>
      </c>
      <c r="I7" s="5" t="s">
        <v>203</v>
      </c>
      <c r="J7" s="5" t="s">
        <v>43</v>
      </c>
      <c r="K7" s="5"/>
      <c r="L7" s="5"/>
      <c r="M7" s="5"/>
    </row>
    <row r="8" spans="1:13" s="6" customFormat="1" hidden="1" x14ac:dyDescent="0.3">
      <c r="A8" s="5">
        <v>6</v>
      </c>
      <c r="B8" s="6" t="s">
        <v>12</v>
      </c>
      <c r="C8" s="6" t="b">
        <f>IF(ISERROR(VLOOKUP(B8,'Slides+PNGs'!$M:$M,1,FALSE)),FALSE,TRUE)</f>
        <v>1</v>
      </c>
      <c r="D8" s="5" t="b">
        <v>1</v>
      </c>
      <c r="E8" s="5" t="str">
        <f>INDEX('Slides+PNGs'!$H:H,MATCH($B8,'Slides+PNGs'!M:M,0))</f>
        <v>Dodged</v>
      </c>
      <c r="F8" s="5" t="str">
        <f>INDEX('Slides+PNGs'!$I:I,MATCH($B8,'Slides+PNGs'!M:M,0))</f>
        <v>N/A</v>
      </c>
      <c r="G8" s="5">
        <f>INDEX('Slides+PNGs'!$L:L,MATCH($B8,'Slides+PNGs'!M:M,0))</f>
        <v>0</v>
      </c>
      <c r="H8" s="5" t="s">
        <v>11</v>
      </c>
      <c r="I8" s="5" t="s">
        <v>204</v>
      </c>
      <c r="J8" s="5" t="s">
        <v>43</v>
      </c>
      <c r="K8" s="5"/>
      <c r="L8" s="5"/>
      <c r="M8" s="5"/>
    </row>
    <row r="9" spans="1:13" s="6" customFormat="1" hidden="1" x14ac:dyDescent="0.3">
      <c r="A9" s="5">
        <v>7</v>
      </c>
      <c r="B9" s="6" t="s">
        <v>34</v>
      </c>
      <c r="C9" s="6" t="b">
        <f>IF(ISERROR(VLOOKUP(B9,'Slides+PNGs'!$M:$M,1,FALSE)),FALSE,TRUE)</f>
        <v>1</v>
      </c>
      <c r="D9" s="5" t="b">
        <v>1</v>
      </c>
      <c r="E9" s="5" t="str">
        <f>INDEX('Slides+PNGs'!$H:H,MATCH($B9,'Slides+PNGs'!M:M,0))</f>
        <v>Dodged</v>
      </c>
      <c r="F9" s="5" t="str">
        <f>INDEX('Slides+PNGs'!$I:I,MATCH($B9,'Slides+PNGs'!M:M,0))</f>
        <v>N/A</v>
      </c>
      <c r="G9" s="5">
        <f>INDEX('Slides+PNGs'!$L:L,MATCH($B9,'Slides+PNGs'!M:M,0))</f>
        <v>0</v>
      </c>
      <c r="H9" s="5" t="s">
        <v>11</v>
      </c>
      <c r="I9" s="5" t="s">
        <v>204</v>
      </c>
      <c r="J9" s="5" t="s">
        <v>43</v>
      </c>
      <c r="K9" s="5"/>
      <c r="L9" s="5"/>
      <c r="M9" s="5"/>
    </row>
    <row r="10" spans="1:13" s="6" customFormat="1" hidden="1" x14ac:dyDescent="0.3">
      <c r="A10" s="5">
        <v>8</v>
      </c>
      <c r="B10" s="6" t="s">
        <v>13</v>
      </c>
      <c r="C10" s="6" t="b">
        <f>IF(ISERROR(VLOOKUP(B10,'Slides+PNGs'!$M:$M,1,FALSE)),FALSE,TRUE)</f>
        <v>1</v>
      </c>
      <c r="D10" s="5" t="b">
        <v>1</v>
      </c>
      <c r="E10" s="5" t="str">
        <f>INDEX('Slides+PNGs'!$H:H,MATCH($B10,'Slides+PNGs'!M:M,0))</f>
        <v>Dodged</v>
      </c>
      <c r="F10" s="5" t="str">
        <f>INDEX('Slides+PNGs'!$I:I,MATCH($B10,'Slides+PNGs'!M:M,0))</f>
        <v>N/A</v>
      </c>
      <c r="G10" s="5">
        <f>INDEX('Slides+PNGs'!$L:L,MATCH($B10,'Slides+PNGs'!M:M,0))</f>
        <v>0</v>
      </c>
      <c r="H10" s="5" t="s">
        <v>11</v>
      </c>
      <c r="I10" s="5" t="s">
        <v>204</v>
      </c>
      <c r="J10" s="5" t="s">
        <v>43</v>
      </c>
      <c r="K10" s="5"/>
      <c r="L10" s="5"/>
      <c r="M10" s="5"/>
    </row>
    <row r="11" spans="1:13" s="6" customFormat="1" hidden="1" x14ac:dyDescent="0.3">
      <c r="A11" s="5">
        <v>9</v>
      </c>
      <c r="B11" s="6" t="s">
        <v>5</v>
      </c>
      <c r="C11" s="6" t="b">
        <f>IF(ISERROR(VLOOKUP(B11,'Slides+PNGs'!$M:$M,1,FALSE)),FALSE,TRUE)</f>
        <v>1</v>
      </c>
      <c r="D11" s="5" t="b">
        <v>1</v>
      </c>
      <c r="E11" s="5" t="str">
        <f>INDEX('Slides+PNGs'!$H:H,MATCH($B11,'Slides+PNGs'!M:M,0))</f>
        <v>Dodged</v>
      </c>
      <c r="F11" s="5" t="str">
        <f>INDEX('Slides+PNGs'!$I:I,MATCH($B11,'Slides+PNGs'!M:M,0))</f>
        <v>N/A</v>
      </c>
      <c r="G11" s="5">
        <f>INDEX('Slides+PNGs'!$L:L,MATCH($B11,'Slides+PNGs'!M:M,0))</f>
        <v>0</v>
      </c>
      <c r="H11" s="5" t="s">
        <v>11</v>
      </c>
      <c r="I11" s="5" t="s">
        <v>204</v>
      </c>
      <c r="J11" s="5" t="s">
        <v>43</v>
      </c>
      <c r="K11" s="5"/>
      <c r="L11" s="5"/>
      <c r="M11" s="5"/>
    </row>
    <row r="12" spans="1:13" s="6" customFormat="1" hidden="1" x14ac:dyDescent="0.3">
      <c r="A12" s="5">
        <v>10</v>
      </c>
      <c r="B12" s="6" t="s">
        <v>14</v>
      </c>
      <c r="C12" s="6" t="b">
        <f>IF(ISERROR(VLOOKUP(B12,'Slides+PNGs'!$M:$M,1,FALSE)),FALSE,TRUE)</f>
        <v>1</v>
      </c>
      <c r="D12" s="5" t="b">
        <v>1</v>
      </c>
      <c r="E12" s="5" t="str">
        <f>INDEX('Slides+PNGs'!$H:H,MATCH($B12,'Slides+PNGs'!M:M,0))</f>
        <v>Dodged</v>
      </c>
      <c r="F12" s="5" t="str">
        <f>INDEX('Slides+PNGs'!$I:I,MATCH($B12,'Slides+PNGs'!M:M,0))</f>
        <v>N/A</v>
      </c>
      <c r="G12" s="5">
        <f>INDEX('Slides+PNGs'!$L:L,MATCH($B12,'Slides+PNGs'!M:M,0))</f>
        <v>0</v>
      </c>
      <c r="H12" s="5" t="s">
        <v>11</v>
      </c>
      <c r="I12" s="5" t="s">
        <v>204</v>
      </c>
      <c r="J12" s="5" t="s">
        <v>43</v>
      </c>
      <c r="K12" s="5"/>
      <c r="L12" s="5"/>
      <c r="M12" s="5"/>
    </row>
    <row r="13" spans="1:13" s="6" customFormat="1" hidden="1" x14ac:dyDescent="0.3">
      <c r="A13" s="5">
        <v>11</v>
      </c>
      <c r="B13" s="6" t="s">
        <v>7</v>
      </c>
      <c r="C13" s="6" t="b">
        <f>IF(ISERROR(VLOOKUP(B13,'Slides+PNGs'!$M:$M,1,FALSE)),FALSE,TRUE)</f>
        <v>1</v>
      </c>
      <c r="D13" s="5" t="b">
        <v>1</v>
      </c>
      <c r="E13" s="5" t="str">
        <f>INDEX('Slides+PNGs'!$H:H,MATCH($B13,'Slides+PNGs'!M:M,0))</f>
        <v>Dodged</v>
      </c>
      <c r="F13" s="5" t="str">
        <f>INDEX('Slides+PNGs'!$I:I,MATCH($B13,'Slides+PNGs'!M:M,0))</f>
        <v>N/A</v>
      </c>
      <c r="G13" s="5">
        <f>INDEX('Slides+PNGs'!$L:L,MATCH($B13,'Slides+PNGs'!M:M,0))</f>
        <v>0</v>
      </c>
      <c r="H13" s="5" t="s">
        <v>11</v>
      </c>
      <c r="I13" s="5" t="s">
        <v>204</v>
      </c>
      <c r="J13" s="5" t="s">
        <v>43</v>
      </c>
      <c r="K13" s="5"/>
      <c r="L13" s="5"/>
      <c r="M13" s="5"/>
    </row>
    <row r="14" spans="1:13" s="6" customFormat="1" hidden="1" x14ac:dyDescent="0.3">
      <c r="A14" s="5">
        <v>12</v>
      </c>
      <c r="B14" s="6" t="s">
        <v>15</v>
      </c>
      <c r="C14" s="6" t="b">
        <f>IF(ISERROR(VLOOKUP(B14,'Slides+PNGs'!$M:$M,1,FALSE)),FALSE,TRUE)</f>
        <v>1</v>
      </c>
      <c r="D14" s="5" t="b">
        <v>1</v>
      </c>
      <c r="E14" s="5" t="str">
        <f>INDEX('Slides+PNGs'!$H:H,MATCH($B14,'Slides+PNGs'!M:M,0))</f>
        <v>Dodged</v>
      </c>
      <c r="F14" s="5" t="str">
        <f>INDEX('Slides+PNGs'!$I:I,MATCH($B14,'Slides+PNGs'!M:M,0))</f>
        <v>N/A</v>
      </c>
      <c r="G14" s="5">
        <f>INDEX('Slides+PNGs'!$L:L,MATCH($B14,'Slides+PNGs'!M:M,0))</f>
        <v>0</v>
      </c>
      <c r="H14" s="5" t="s">
        <v>11</v>
      </c>
      <c r="I14" s="5" t="s">
        <v>204</v>
      </c>
      <c r="J14" s="5" t="s">
        <v>43</v>
      </c>
      <c r="K14" s="5"/>
      <c r="L14" s="5"/>
      <c r="M14" s="5"/>
    </row>
    <row r="15" spans="1:13" s="6" customFormat="1" hidden="1" x14ac:dyDescent="0.3">
      <c r="A15" s="5">
        <v>13</v>
      </c>
      <c r="B15" s="6" t="s">
        <v>6</v>
      </c>
      <c r="C15" s="6" t="b">
        <f>IF(ISERROR(VLOOKUP(B15,'Slides+PNGs'!$M:$M,1,FALSE)),FALSE,TRUE)</f>
        <v>1</v>
      </c>
      <c r="D15" s="5" t="b">
        <v>1</v>
      </c>
      <c r="E15" s="5" t="str">
        <f>INDEX('Slides+PNGs'!$H:H,MATCH($B15,'Slides+PNGs'!M:M,0))</f>
        <v>Dodged</v>
      </c>
      <c r="F15" s="5" t="str">
        <f>INDEX('Slides+PNGs'!$I:I,MATCH($B15,'Slides+PNGs'!M:M,0))</f>
        <v>N/A</v>
      </c>
      <c r="G15" s="5">
        <f>INDEX('Slides+PNGs'!$L:L,MATCH($B15,'Slides+PNGs'!M:M,0))</f>
        <v>0</v>
      </c>
      <c r="H15" s="5" t="s">
        <v>11</v>
      </c>
      <c r="I15" s="5" t="s">
        <v>204</v>
      </c>
      <c r="J15" s="5" t="s">
        <v>43</v>
      </c>
      <c r="K15" s="5"/>
      <c r="L15" s="5"/>
      <c r="M15" s="5"/>
    </row>
    <row r="16" spans="1:13" s="6" customFormat="1" hidden="1" x14ac:dyDescent="0.3">
      <c r="A16" s="5">
        <v>14</v>
      </c>
      <c r="B16" s="6" t="s">
        <v>16</v>
      </c>
      <c r="C16" s="6" t="b">
        <f>IF(ISERROR(VLOOKUP(B16,'Slides+PNGs'!$M:$M,1,FALSE)),FALSE,TRUE)</f>
        <v>1</v>
      </c>
      <c r="D16" s="5" t="b">
        <v>1</v>
      </c>
      <c r="E16" s="5" t="str">
        <f>INDEX('Slides+PNGs'!$H:H,MATCH($B16,'Slides+PNGs'!M:M,0))</f>
        <v>Dodged</v>
      </c>
      <c r="F16" s="5" t="str">
        <f>INDEX('Slides+PNGs'!$I:I,MATCH($B16,'Slides+PNGs'!M:M,0))</f>
        <v>N/A</v>
      </c>
      <c r="G16" s="5">
        <f>INDEX('Slides+PNGs'!$L:L,MATCH($B16,'Slides+PNGs'!M:M,0))</f>
        <v>0</v>
      </c>
      <c r="H16" s="5" t="s">
        <v>11</v>
      </c>
      <c r="I16" s="5" t="s">
        <v>204</v>
      </c>
      <c r="J16" s="5" t="s">
        <v>43</v>
      </c>
      <c r="K16" s="5"/>
      <c r="L16" s="5"/>
      <c r="M16" s="5"/>
    </row>
    <row r="17" spans="1:13" s="6" customFormat="1" hidden="1" x14ac:dyDescent="0.3">
      <c r="A17" s="5">
        <v>15</v>
      </c>
      <c r="B17" s="6" t="s">
        <v>8</v>
      </c>
      <c r="C17" s="6" t="b">
        <f>IF(ISERROR(VLOOKUP(B17,'Slides+PNGs'!$M:$M,1,FALSE)),FALSE,TRUE)</f>
        <v>1</v>
      </c>
      <c r="D17" s="5" t="b">
        <v>1</v>
      </c>
      <c r="E17" s="5" t="str">
        <f>INDEX('Slides+PNGs'!$H:H,MATCH($B17,'Slides+PNGs'!M:M,0))</f>
        <v>Dodged</v>
      </c>
      <c r="F17" s="5" t="str">
        <f>INDEX('Slides+PNGs'!$I:I,MATCH($B17,'Slides+PNGs'!M:M,0))</f>
        <v>N/A</v>
      </c>
      <c r="G17" s="5">
        <f>INDEX('Slides+PNGs'!$L:L,MATCH($B17,'Slides+PNGs'!M:M,0))</f>
        <v>0</v>
      </c>
      <c r="H17" s="5" t="s">
        <v>11</v>
      </c>
      <c r="I17" s="5" t="s">
        <v>204</v>
      </c>
      <c r="J17" s="5" t="s">
        <v>43</v>
      </c>
      <c r="K17" s="5"/>
      <c r="L17" s="5"/>
      <c r="M17" s="5"/>
    </row>
    <row r="18" spans="1:13" s="6" customFormat="1" hidden="1" x14ac:dyDescent="0.3">
      <c r="A18" s="5">
        <v>16</v>
      </c>
      <c r="B18" s="6" t="s">
        <v>17</v>
      </c>
      <c r="C18" s="6" t="b">
        <f>IF(ISERROR(VLOOKUP(B18,'Slides+PNGs'!$M:$M,1,FALSE)),FALSE,TRUE)</f>
        <v>1</v>
      </c>
      <c r="D18" s="5" t="b">
        <v>1</v>
      </c>
      <c r="E18" s="5" t="str">
        <f>INDEX('Slides+PNGs'!$H:H,MATCH($B18,'Slides+PNGs'!M:M,0))</f>
        <v>Dodged</v>
      </c>
      <c r="F18" s="5" t="str">
        <f>INDEX('Slides+PNGs'!$I:I,MATCH($B18,'Slides+PNGs'!M:M,0))</f>
        <v>N/A</v>
      </c>
      <c r="G18" s="5">
        <f>INDEX('Slides+PNGs'!$L:L,MATCH($B18,'Slides+PNGs'!M:M,0))</f>
        <v>0</v>
      </c>
      <c r="H18" s="5" t="s">
        <v>11</v>
      </c>
      <c r="I18" s="5" t="s">
        <v>204</v>
      </c>
      <c r="J18" s="5" t="s">
        <v>43</v>
      </c>
      <c r="K18" s="5"/>
      <c r="L18" s="5"/>
      <c r="M18" s="5"/>
    </row>
    <row r="19" spans="1:13" s="6" customFormat="1" hidden="1" x14ac:dyDescent="0.3">
      <c r="A19" s="5">
        <v>17</v>
      </c>
      <c r="B19" s="6" t="s">
        <v>3</v>
      </c>
      <c r="C19" s="6" t="b">
        <f>IF(ISERROR(VLOOKUP(B19,'Slides+PNGs'!$M:$M,1,FALSE)),FALSE,TRUE)</f>
        <v>1</v>
      </c>
      <c r="D19" s="5" t="b">
        <v>1</v>
      </c>
      <c r="E19" s="5" t="str">
        <f>INDEX('Slides+PNGs'!$H:H,MATCH($B19,'Slides+PNGs'!M:M,0))</f>
        <v>Dodged</v>
      </c>
      <c r="F19" s="5" t="str">
        <f>INDEX('Slides+PNGs'!$I:I,MATCH($B19,'Slides+PNGs'!M:M,0))</f>
        <v>N/A</v>
      </c>
      <c r="G19" s="5">
        <f>INDEX('Slides+PNGs'!$L:L,MATCH($B19,'Slides+PNGs'!M:M,0))</f>
        <v>0</v>
      </c>
      <c r="H19" s="5" t="s">
        <v>11</v>
      </c>
      <c r="I19" s="5" t="s">
        <v>205</v>
      </c>
      <c r="J19" s="5" t="s">
        <v>49</v>
      </c>
      <c r="K19" s="5"/>
      <c r="L19" s="5"/>
      <c r="M19" s="5"/>
    </row>
    <row r="20" spans="1:13" s="6" customFormat="1" hidden="1" x14ac:dyDescent="0.3">
      <c r="A20" s="5">
        <v>18</v>
      </c>
      <c r="B20" s="4" t="s">
        <v>206</v>
      </c>
      <c r="C20" s="4" t="b">
        <f>IF(ISERROR(VLOOKUP(B20,'Slides+PNGs'!$M:$M,1,FALSE)),FALSE,TRUE)</f>
        <v>0</v>
      </c>
      <c r="D20" s="5" t="b">
        <v>1</v>
      </c>
      <c r="E20" s="5" t="e">
        <f>INDEX('Slides+PNGs'!$H:H,MATCH($B20,'Slides+PNGs'!M:M,0))</f>
        <v>#N/A</v>
      </c>
      <c r="F20" s="5" t="e">
        <f>INDEX('Slides+PNGs'!$I:I,MATCH($B20,'Slides+PNGs'!M:M,0))</f>
        <v>#N/A</v>
      </c>
      <c r="G20" s="5" t="e">
        <f>INDEX('Slides+PNGs'!$L:L,MATCH($B20,'Slides+PNGs'!M:M,0))</f>
        <v>#N/A</v>
      </c>
      <c r="H20" s="5" t="s">
        <v>11</v>
      </c>
      <c r="I20" s="5" t="s">
        <v>205</v>
      </c>
      <c r="J20" s="5" t="s">
        <v>49</v>
      </c>
      <c r="K20" s="5"/>
      <c r="L20" s="5"/>
      <c r="M20" s="9" t="s">
        <v>678</v>
      </c>
    </row>
    <row r="21" spans="1:13" s="6" customFormat="1" hidden="1" x14ac:dyDescent="0.3">
      <c r="A21" s="5">
        <v>19</v>
      </c>
      <c r="B21" s="4" t="s">
        <v>207</v>
      </c>
      <c r="C21" s="4" t="b">
        <f>IF(ISERROR(VLOOKUP(B21,'Slides+PNGs'!$M:$M,1,FALSE)),FALSE,TRUE)</f>
        <v>0</v>
      </c>
      <c r="D21" s="5" t="b">
        <v>1</v>
      </c>
      <c r="E21" s="5" t="e">
        <f>INDEX('Slides+PNGs'!$H:H,MATCH($B21,'Slides+PNGs'!M:M,0))</f>
        <v>#N/A</v>
      </c>
      <c r="F21" s="5" t="e">
        <f>INDEX('Slides+PNGs'!$I:I,MATCH($B21,'Slides+PNGs'!M:M,0))</f>
        <v>#N/A</v>
      </c>
      <c r="G21" s="5" t="e">
        <f>INDEX('Slides+PNGs'!$L:L,MATCH($B21,'Slides+PNGs'!M:M,0))</f>
        <v>#N/A</v>
      </c>
      <c r="H21" s="5" t="s">
        <v>11</v>
      </c>
      <c r="I21" s="5" t="s">
        <v>205</v>
      </c>
      <c r="J21" s="5" t="s">
        <v>51</v>
      </c>
      <c r="K21" s="5"/>
      <c r="L21" s="5"/>
      <c r="M21" s="9" t="s">
        <v>678</v>
      </c>
    </row>
    <row r="22" spans="1:13" s="6" customFormat="1" ht="28.8" hidden="1" x14ac:dyDescent="0.3">
      <c r="A22" s="5">
        <v>20</v>
      </c>
      <c r="B22" s="6" t="s">
        <v>31</v>
      </c>
      <c r="C22" s="6" t="b">
        <f>IF(ISERROR(VLOOKUP(B22,'Slides+PNGs'!$M:$M,1,FALSE)),FALSE,TRUE)</f>
        <v>1</v>
      </c>
      <c r="D22" s="5" t="b">
        <v>1</v>
      </c>
      <c r="E22" s="5" t="b">
        <f>INDEX('Slides+PNGs'!$H:H,MATCH($B22,'Slides+PNGs'!M:M,0))</f>
        <v>0</v>
      </c>
      <c r="F22" s="5" t="str">
        <f>INDEX('Slides+PNGs'!$I:I,MATCH($B22,'Slides+PNGs'!M:M,0))</f>
        <v>N/A</v>
      </c>
      <c r="G22" s="5">
        <f>INDEX('Slides+PNGs'!$L:L,MATCH($B22,'Slides+PNGs'!M:M,0))</f>
        <v>0</v>
      </c>
      <c r="H22" s="5" t="s">
        <v>11</v>
      </c>
      <c r="I22" s="5" t="s">
        <v>208</v>
      </c>
      <c r="J22" s="5" t="s">
        <v>56</v>
      </c>
      <c r="K22" s="5"/>
      <c r="L22" s="5"/>
      <c r="M22" s="5"/>
    </row>
    <row r="23" spans="1:13" s="6" customFormat="1" ht="28.8" hidden="1" x14ac:dyDescent="0.3">
      <c r="A23" s="5">
        <v>21</v>
      </c>
      <c r="B23" s="6" t="s">
        <v>27</v>
      </c>
      <c r="C23" s="6" t="b">
        <f>IF(ISERROR(VLOOKUP(B23,'Slides+PNGs'!$M:$M,1,FALSE)),FALSE,TRUE)</f>
        <v>1</v>
      </c>
      <c r="D23" s="5" t="b">
        <v>1</v>
      </c>
      <c r="E23" s="5" t="b">
        <f>INDEX('Slides+PNGs'!$H:H,MATCH($B23,'Slides+PNGs'!M:M,0))</f>
        <v>0</v>
      </c>
      <c r="F23" s="5" t="str">
        <f>INDEX('Slides+PNGs'!$I:I,MATCH($B23,'Slides+PNGs'!M:M,0))</f>
        <v>N/A</v>
      </c>
      <c r="G23" s="5">
        <f>INDEX('Slides+PNGs'!$L:L,MATCH($B23,'Slides+PNGs'!M:M,0))</f>
        <v>0</v>
      </c>
      <c r="H23" s="5" t="s">
        <v>11</v>
      </c>
      <c r="I23" s="5" t="s">
        <v>208</v>
      </c>
      <c r="J23" s="5" t="s">
        <v>56</v>
      </c>
      <c r="K23" s="5"/>
      <c r="L23" s="5"/>
      <c r="M23" s="5"/>
    </row>
    <row r="24" spans="1:13" s="6" customFormat="1" ht="28.8" hidden="1" x14ac:dyDescent="0.3">
      <c r="A24" s="5">
        <v>22</v>
      </c>
      <c r="B24" s="6" t="s">
        <v>29</v>
      </c>
      <c r="C24" s="6" t="b">
        <f>IF(ISERROR(VLOOKUP(B24,'Slides+PNGs'!$M:$M,1,FALSE)),FALSE,TRUE)</f>
        <v>1</v>
      </c>
      <c r="D24" s="5" t="b">
        <v>1</v>
      </c>
      <c r="E24" s="5" t="b">
        <f>INDEX('Slides+PNGs'!$H:H,MATCH($B24,'Slides+PNGs'!M:M,0))</f>
        <v>0</v>
      </c>
      <c r="F24" s="5" t="str">
        <f>INDEX('Slides+PNGs'!$I:I,MATCH($B24,'Slides+PNGs'!M:M,0))</f>
        <v>N/A</v>
      </c>
      <c r="G24" s="5">
        <f>INDEX('Slides+PNGs'!$L:L,MATCH($B24,'Slides+PNGs'!M:M,0))</f>
        <v>0</v>
      </c>
      <c r="H24" s="5" t="s">
        <v>11</v>
      </c>
      <c r="I24" s="5" t="s">
        <v>208</v>
      </c>
      <c r="J24" s="5" t="s">
        <v>56</v>
      </c>
      <c r="K24" s="5"/>
      <c r="L24" s="5"/>
      <c r="M24" s="5"/>
    </row>
    <row r="25" spans="1:13" s="6" customFormat="1" ht="28.8" hidden="1" x14ac:dyDescent="0.3">
      <c r="A25" s="5">
        <v>23</v>
      </c>
      <c r="B25" s="6" t="s">
        <v>209</v>
      </c>
      <c r="C25" s="6" t="b">
        <f>IF(ISERROR(VLOOKUP(B25,'Slides+PNGs'!$M:$M,1,FALSE)),FALSE,TRUE)</f>
        <v>1</v>
      </c>
      <c r="D25" s="5" t="b">
        <v>1</v>
      </c>
      <c r="E25" s="5" t="b">
        <f>INDEX('Slides+PNGs'!$H:H,MATCH($B25,'Slides+PNGs'!M:M,0))</f>
        <v>0</v>
      </c>
      <c r="F25" s="5" t="str">
        <f>INDEX('Slides+PNGs'!$I:I,MATCH($B25,'Slides+PNGs'!M:M,0))</f>
        <v>N/A</v>
      </c>
      <c r="G25" s="5">
        <f>INDEX('Slides+PNGs'!$L:L,MATCH($B25,'Slides+PNGs'!M:M,0))</f>
        <v>0</v>
      </c>
      <c r="H25" s="5" t="s">
        <v>11</v>
      </c>
      <c r="I25" s="5" t="s">
        <v>208</v>
      </c>
      <c r="J25" s="5" t="s">
        <v>56</v>
      </c>
      <c r="K25" s="5"/>
      <c r="L25" s="5"/>
      <c r="M25" s="5"/>
    </row>
    <row r="26" spans="1:13" s="6" customFormat="1" ht="28.8" hidden="1" x14ac:dyDescent="0.3">
      <c r="A26" s="5">
        <v>24</v>
      </c>
      <c r="B26" s="4" t="s">
        <v>210</v>
      </c>
      <c r="C26" s="4" t="b">
        <v>0</v>
      </c>
      <c r="D26" s="5" t="b">
        <v>1</v>
      </c>
      <c r="E26" s="5" t="e">
        <f>INDEX('Slides+PNGs'!$H:H,MATCH($B26,'Slides+PNGs'!M:M,0))</f>
        <v>#N/A</v>
      </c>
      <c r="F26" s="5" t="e">
        <f>INDEX('Slides+PNGs'!$I:I,MATCH($B26,'Slides+PNGs'!M:M,0))</f>
        <v>#N/A</v>
      </c>
      <c r="G26" s="5" t="e">
        <f>INDEX('Slides+PNGs'!$L:L,MATCH($B26,'Slides+PNGs'!M:M,0))</f>
        <v>#N/A</v>
      </c>
      <c r="H26" s="5" t="s">
        <v>11</v>
      </c>
      <c r="I26" s="5" t="s">
        <v>208</v>
      </c>
      <c r="J26" s="5" t="s">
        <v>59</v>
      </c>
      <c r="K26" s="5"/>
      <c r="L26" s="5"/>
      <c r="M26" s="9" t="s">
        <v>678</v>
      </c>
    </row>
    <row r="27" spans="1:13" s="6" customFormat="1" ht="28.8" hidden="1" x14ac:dyDescent="0.3">
      <c r="A27" s="5">
        <v>25</v>
      </c>
      <c r="B27" s="4" t="s">
        <v>211</v>
      </c>
      <c r="C27" s="4" t="b">
        <v>0</v>
      </c>
      <c r="D27" s="5" t="b">
        <v>1</v>
      </c>
      <c r="E27" s="5" t="e">
        <f>INDEX('Slides+PNGs'!$H:H,MATCH($B27,'Slides+PNGs'!M:M,0))</f>
        <v>#N/A</v>
      </c>
      <c r="F27" s="5" t="e">
        <f>INDEX('Slides+PNGs'!$I:I,MATCH($B27,'Slides+PNGs'!M:M,0))</f>
        <v>#N/A</v>
      </c>
      <c r="G27" s="5" t="e">
        <f>INDEX('Slides+PNGs'!$L:L,MATCH($B27,'Slides+PNGs'!M:M,0))</f>
        <v>#N/A</v>
      </c>
      <c r="H27" s="5" t="s">
        <v>11</v>
      </c>
      <c r="I27" s="5" t="s">
        <v>208</v>
      </c>
      <c r="J27" s="5" t="s">
        <v>59</v>
      </c>
      <c r="K27" s="5"/>
      <c r="L27" s="5"/>
      <c r="M27" s="9" t="s">
        <v>678</v>
      </c>
    </row>
    <row r="28" spans="1:13" s="6" customFormat="1" ht="28.8" hidden="1" x14ac:dyDescent="0.3">
      <c r="A28" s="5">
        <v>26</v>
      </c>
      <c r="B28" s="4" t="s">
        <v>212</v>
      </c>
      <c r="C28" s="4" t="b">
        <v>0</v>
      </c>
      <c r="D28" s="5" t="b">
        <v>1</v>
      </c>
      <c r="E28" s="5" t="e">
        <f>INDEX('Slides+PNGs'!$H:H,MATCH($B28,'Slides+PNGs'!M:M,0))</f>
        <v>#N/A</v>
      </c>
      <c r="F28" s="5" t="e">
        <f>INDEX('Slides+PNGs'!$I:I,MATCH($B28,'Slides+PNGs'!M:M,0))</f>
        <v>#N/A</v>
      </c>
      <c r="G28" s="5" t="e">
        <f>INDEX('Slides+PNGs'!$L:L,MATCH($B28,'Slides+PNGs'!M:M,0))</f>
        <v>#N/A</v>
      </c>
      <c r="H28" s="5" t="s">
        <v>11</v>
      </c>
      <c r="I28" s="5" t="s">
        <v>208</v>
      </c>
      <c r="J28" s="5" t="s">
        <v>59</v>
      </c>
      <c r="K28" s="5"/>
      <c r="L28" s="5"/>
      <c r="M28" s="9" t="s">
        <v>678</v>
      </c>
    </row>
    <row r="29" spans="1:13" s="6" customFormat="1" ht="28.8" hidden="1" x14ac:dyDescent="0.3">
      <c r="A29" s="5">
        <v>27</v>
      </c>
      <c r="B29" s="4" t="s">
        <v>213</v>
      </c>
      <c r="C29" s="4" t="b">
        <v>0</v>
      </c>
      <c r="D29" s="5" t="b">
        <v>1</v>
      </c>
      <c r="E29" s="5" t="e">
        <f>INDEX('Slides+PNGs'!$H:H,MATCH($B29,'Slides+PNGs'!M:M,0))</f>
        <v>#N/A</v>
      </c>
      <c r="F29" s="5" t="e">
        <f>INDEX('Slides+PNGs'!$I:I,MATCH($B29,'Slides+PNGs'!M:M,0))</f>
        <v>#N/A</v>
      </c>
      <c r="G29" s="5" t="e">
        <f>INDEX('Slides+PNGs'!$L:L,MATCH($B29,'Slides+PNGs'!M:M,0))</f>
        <v>#N/A</v>
      </c>
      <c r="H29" s="5" t="s">
        <v>11</v>
      </c>
      <c r="I29" s="5" t="s">
        <v>208</v>
      </c>
      <c r="J29" s="5" t="s">
        <v>59</v>
      </c>
      <c r="K29" s="5"/>
      <c r="L29" s="5"/>
      <c r="M29" s="9" t="s">
        <v>678</v>
      </c>
    </row>
    <row r="30" spans="1:13" s="6" customFormat="1" x14ac:dyDescent="0.3">
      <c r="A30" s="5">
        <v>28</v>
      </c>
      <c r="B30" s="4" t="s">
        <v>214</v>
      </c>
      <c r="C30" s="4" t="b">
        <f>IF(ISERROR(VLOOKUP(B30,'Slides+PNGs'!$M:$M,1,FALSE)),FALSE,TRUE)</f>
        <v>0</v>
      </c>
      <c r="D30" s="5" t="b">
        <v>1</v>
      </c>
      <c r="E30" s="5" t="e">
        <f>INDEX('Slides+PNGs'!$H:H,MATCH($B30,'Slides+PNGs'!M:M,0))</f>
        <v>#N/A</v>
      </c>
      <c r="F30" s="5" t="e">
        <f>INDEX('Slides+PNGs'!$I:I,MATCH($B30,'Slides+PNGs'!M:M,0))</f>
        <v>#N/A</v>
      </c>
      <c r="G30" s="5" t="e">
        <f>INDEX('Slides+PNGs'!$L:L,MATCH($B30,'Slides+PNGs'!M:M,0))</f>
        <v>#N/A</v>
      </c>
      <c r="H30" s="5" t="s">
        <v>11</v>
      </c>
      <c r="I30" s="5" t="s">
        <v>215</v>
      </c>
      <c r="J30" s="5" t="s">
        <v>62</v>
      </c>
      <c r="K30" s="5"/>
      <c r="L30" s="5"/>
      <c r="M30" s="9" t="s">
        <v>678</v>
      </c>
    </row>
    <row r="31" spans="1:13" s="6" customFormat="1" x14ac:dyDescent="0.3">
      <c r="A31" s="5">
        <v>29</v>
      </c>
      <c r="B31" s="4" t="s">
        <v>216</v>
      </c>
      <c r="C31" s="4" t="b">
        <v>0</v>
      </c>
      <c r="D31" s="5" t="b">
        <v>1</v>
      </c>
      <c r="E31" s="5" t="e">
        <f>INDEX('Slides+PNGs'!$H:H,MATCH($B31,'Slides+PNGs'!M:M,0))</f>
        <v>#N/A</v>
      </c>
      <c r="F31" s="5" t="e">
        <f>INDEX('Slides+PNGs'!$I:I,MATCH($B31,'Slides+PNGs'!M:M,0))</f>
        <v>#N/A</v>
      </c>
      <c r="G31" s="5" t="e">
        <f>INDEX('Slides+PNGs'!$L:L,MATCH($B31,'Slides+PNGs'!M:M,0))</f>
        <v>#N/A</v>
      </c>
      <c r="H31" s="5" t="s">
        <v>11</v>
      </c>
      <c r="I31" s="5" t="s">
        <v>215</v>
      </c>
      <c r="J31" s="5" t="s">
        <v>62</v>
      </c>
      <c r="K31" s="5"/>
      <c r="L31" s="5"/>
      <c r="M31" s="9" t="s">
        <v>678</v>
      </c>
    </row>
    <row r="32" spans="1:13" s="6" customFormat="1" hidden="1" x14ac:dyDescent="0.3">
      <c r="A32" s="5">
        <v>30</v>
      </c>
      <c r="B32" s="4" t="s">
        <v>217</v>
      </c>
      <c r="C32" s="4" t="b">
        <v>0</v>
      </c>
      <c r="D32" s="5" t="b">
        <v>1</v>
      </c>
      <c r="E32" s="5" t="e">
        <f>INDEX('Slides+PNGs'!$H:H,MATCH($B32,'Slides+PNGs'!M:M,0))</f>
        <v>#N/A</v>
      </c>
      <c r="F32" s="5" t="e">
        <f>INDEX('Slides+PNGs'!$I:I,MATCH($B32,'Slides+PNGs'!M:M,0))</f>
        <v>#N/A</v>
      </c>
      <c r="G32" s="5" t="e">
        <f>INDEX('Slides+PNGs'!$L:L,MATCH($B32,'Slides+PNGs'!M:M,0))</f>
        <v>#N/A</v>
      </c>
      <c r="H32" s="5" t="s">
        <v>11</v>
      </c>
      <c r="I32" s="5" t="s">
        <v>215</v>
      </c>
      <c r="J32" s="5" t="s">
        <v>62</v>
      </c>
      <c r="K32" s="5"/>
      <c r="L32" s="5"/>
      <c r="M32" s="9" t="s">
        <v>678</v>
      </c>
    </row>
    <row r="33" spans="1:13" s="6" customFormat="1" hidden="1" x14ac:dyDescent="0.3">
      <c r="A33" s="5">
        <v>31</v>
      </c>
      <c r="B33" s="6" t="s">
        <v>25</v>
      </c>
      <c r="C33" s="6" t="b">
        <f>IF(ISERROR(VLOOKUP(B33,'Slides+PNGs'!$M:$M,1,FALSE)),FALSE,TRUE)</f>
        <v>1</v>
      </c>
      <c r="D33" s="5" t="b">
        <v>1</v>
      </c>
      <c r="E33" s="5" t="str">
        <f>INDEX('Slides+PNGs'!$H:H,MATCH($B33,'Slides+PNGs'!M:M,0))</f>
        <v>Dodged</v>
      </c>
      <c r="F33" s="5" t="str">
        <f>INDEX('Slides+PNGs'!$I:I,MATCH($B33,'Slides+PNGs'!M:M,0))</f>
        <v>N/A</v>
      </c>
      <c r="G33" s="5">
        <f>INDEX('Slides+PNGs'!$L:L,MATCH($B33,'Slides+PNGs'!M:M,0))</f>
        <v>0</v>
      </c>
      <c r="H33" s="5" t="s">
        <v>11</v>
      </c>
      <c r="I33" s="5" t="s">
        <v>218</v>
      </c>
      <c r="J33" s="5" t="s">
        <v>94</v>
      </c>
      <c r="K33" s="5"/>
      <c r="L33" s="5"/>
      <c r="M33" s="5"/>
    </row>
    <row r="34" spans="1:13" s="6" customFormat="1" hidden="1" x14ac:dyDescent="0.3">
      <c r="A34" s="5">
        <v>32</v>
      </c>
      <c r="B34" s="6" t="s">
        <v>178</v>
      </c>
      <c r="C34" s="6" t="b">
        <f>IF(ISERROR(VLOOKUP(B34,'Slides+PNGs'!$M:$M,1,FALSE)),FALSE,TRUE)</f>
        <v>1</v>
      </c>
      <c r="D34" s="5" t="b">
        <v>1</v>
      </c>
      <c r="E34" s="5" t="str">
        <f>INDEX('Slides+PNGs'!$H:H,MATCH($B34,'Slides+PNGs'!M:M,0))</f>
        <v>N/A</v>
      </c>
      <c r="F34" s="5" t="str">
        <f>INDEX('Slides+PNGs'!$I:I,MATCH($B34,'Slides+PNGs'!M:M,0))</f>
        <v>N/A</v>
      </c>
      <c r="G34" s="5">
        <f>INDEX('Slides+PNGs'!$L:L,MATCH($B34,'Slides+PNGs'!M:M,0))</f>
        <v>0</v>
      </c>
      <c r="H34" s="5" t="s">
        <v>11</v>
      </c>
      <c r="I34" s="5" t="s">
        <v>219</v>
      </c>
      <c r="J34" s="5" t="s">
        <v>101</v>
      </c>
      <c r="K34" s="5"/>
      <c r="L34" s="5"/>
      <c r="M34" s="5"/>
    </row>
    <row r="35" spans="1:13" s="6" customFormat="1" hidden="1" x14ac:dyDescent="0.3">
      <c r="A35" s="5">
        <v>33</v>
      </c>
      <c r="B35" s="6" t="s">
        <v>179</v>
      </c>
      <c r="C35" s="6" t="b">
        <f>IF(ISERROR(VLOOKUP(B35,'Slides+PNGs'!$M:$M,1,FALSE)),FALSE,TRUE)</f>
        <v>1</v>
      </c>
      <c r="D35" s="5" t="b">
        <v>1</v>
      </c>
      <c r="E35" s="5" t="str">
        <f>INDEX('Slides+PNGs'!$H:H,MATCH($B35,'Slides+PNGs'!M:M,0))</f>
        <v>N/A</v>
      </c>
      <c r="F35" s="5" t="str">
        <f>INDEX('Slides+PNGs'!$I:I,MATCH($B35,'Slides+PNGs'!M:M,0))</f>
        <v>N/A</v>
      </c>
      <c r="G35" s="5">
        <f>INDEX('Slides+PNGs'!$L:L,MATCH($B35,'Slides+PNGs'!M:M,0))</f>
        <v>0</v>
      </c>
      <c r="H35" s="5" t="s">
        <v>11</v>
      </c>
      <c r="I35" s="5" t="s">
        <v>219</v>
      </c>
      <c r="J35" s="5" t="s">
        <v>101</v>
      </c>
      <c r="K35" s="5"/>
      <c r="L35" s="5"/>
      <c r="M35" s="5"/>
    </row>
    <row r="36" spans="1:13" s="6" customFormat="1" hidden="1" x14ac:dyDescent="0.3">
      <c r="A36" s="5">
        <v>34</v>
      </c>
      <c r="B36" s="6" t="s">
        <v>220</v>
      </c>
      <c r="C36" s="6" t="b">
        <f>IF(ISERROR(VLOOKUP(B36,'Slides+PNGs'!$M:$M,1,FALSE)),FALSE,TRUE)</f>
        <v>1</v>
      </c>
      <c r="D36" s="5" t="b">
        <v>1</v>
      </c>
      <c r="E36" s="5" t="str">
        <f>INDEX('Slides+PNGs'!$H:H,MATCH($B36,'Slides+PNGs'!M:M,0))</f>
        <v>N/A</v>
      </c>
      <c r="F36" s="5" t="str">
        <f>INDEX('Slides+PNGs'!$I:I,MATCH($B36,'Slides+PNGs'!M:M,0))</f>
        <v>N/A</v>
      </c>
      <c r="G36" s="5">
        <f>INDEX('Slides+PNGs'!$L:L,MATCH($B36,'Slides+PNGs'!M:M,0))</f>
        <v>0</v>
      </c>
      <c r="H36" s="5" t="s">
        <v>11</v>
      </c>
      <c r="I36" s="5" t="s">
        <v>219</v>
      </c>
      <c r="J36" s="5" t="s">
        <v>101</v>
      </c>
      <c r="K36" s="5"/>
      <c r="L36" s="5"/>
      <c r="M36" s="5"/>
    </row>
    <row r="37" spans="1:13" s="6" customFormat="1" hidden="1" x14ac:dyDescent="0.3">
      <c r="A37" s="5">
        <v>35</v>
      </c>
      <c r="B37" s="6" t="s">
        <v>221</v>
      </c>
      <c r="C37" s="6" t="b">
        <f>IF(ISERROR(VLOOKUP(B37,'Slides+PNGs'!$M:$M,1,FALSE)),FALSE,TRUE)</f>
        <v>1</v>
      </c>
      <c r="D37" s="5" t="b">
        <v>1</v>
      </c>
      <c r="E37" s="5" t="str">
        <f>INDEX('Slides+PNGs'!$H:H,MATCH($B37,'Slides+PNGs'!M:M,0))</f>
        <v>N/A</v>
      </c>
      <c r="F37" s="5" t="str">
        <f>INDEX('Slides+PNGs'!$I:I,MATCH($B37,'Slides+PNGs'!M:M,0))</f>
        <v>N/A</v>
      </c>
      <c r="G37" s="5">
        <f>INDEX('Slides+PNGs'!$L:L,MATCH($B37,'Slides+PNGs'!M:M,0))</f>
        <v>0</v>
      </c>
      <c r="H37" s="5" t="s">
        <v>11</v>
      </c>
      <c r="I37" s="5" t="s">
        <v>219</v>
      </c>
      <c r="J37" s="5" t="s">
        <v>101</v>
      </c>
      <c r="K37" s="5"/>
      <c r="L37" s="5"/>
      <c r="M37" s="5"/>
    </row>
    <row r="38" spans="1:13" s="6" customFormat="1" hidden="1" x14ac:dyDescent="0.3">
      <c r="A38" s="5">
        <v>36</v>
      </c>
      <c r="B38" s="6" t="s">
        <v>222</v>
      </c>
      <c r="C38" s="6" t="b">
        <f>IF(ISERROR(VLOOKUP(B38,'Slides+PNGs'!$M:$M,1,FALSE)),FALSE,TRUE)</f>
        <v>1</v>
      </c>
      <c r="D38" s="5" t="b">
        <v>1</v>
      </c>
      <c r="E38" s="5" t="str">
        <f>INDEX('Slides+PNGs'!$H:H,MATCH($B38,'Slides+PNGs'!M:M,0))</f>
        <v>N/A</v>
      </c>
      <c r="F38" s="5" t="str">
        <f>INDEX('Slides+PNGs'!$I:I,MATCH($B38,'Slides+PNGs'!M:M,0))</f>
        <v>N/A</v>
      </c>
      <c r="G38" s="5">
        <f>INDEX('Slides+PNGs'!$L:L,MATCH($B38,'Slides+PNGs'!M:M,0))</f>
        <v>0</v>
      </c>
      <c r="H38" s="5" t="s">
        <v>11</v>
      </c>
      <c r="I38" s="5" t="s">
        <v>219</v>
      </c>
      <c r="J38" s="5" t="s">
        <v>103</v>
      </c>
      <c r="K38" s="5"/>
      <c r="L38" s="5"/>
      <c r="M38" s="5"/>
    </row>
    <row r="39" spans="1:13" s="6" customFormat="1" hidden="1" x14ac:dyDescent="0.3">
      <c r="A39" s="5">
        <v>37</v>
      </c>
      <c r="B39" s="6" t="s">
        <v>223</v>
      </c>
      <c r="C39" s="6" t="b">
        <f>IF(ISERROR(VLOOKUP(B39,'Slides+PNGs'!$M:$M,1,FALSE)),FALSE,TRUE)</f>
        <v>1</v>
      </c>
      <c r="D39" s="5" t="b">
        <v>1</v>
      </c>
      <c r="E39" s="5" t="str">
        <f>INDEX('Slides+PNGs'!$H:H,MATCH($B39,'Slides+PNGs'!M:M,0))</f>
        <v>N/A</v>
      </c>
      <c r="F39" s="5" t="str">
        <f>INDEX('Slides+PNGs'!$I:I,MATCH($B39,'Slides+PNGs'!M:M,0))</f>
        <v>N/A</v>
      </c>
      <c r="G39" s="5">
        <f>INDEX('Slides+PNGs'!$L:L,MATCH($B39,'Slides+PNGs'!M:M,0))</f>
        <v>0</v>
      </c>
      <c r="H39" s="5" t="s">
        <v>11</v>
      </c>
      <c r="I39" s="5" t="s">
        <v>219</v>
      </c>
      <c r="J39" s="5" t="s">
        <v>224</v>
      </c>
      <c r="K39" s="5"/>
      <c r="L39" s="5"/>
      <c r="M39" s="5"/>
    </row>
    <row r="40" spans="1:13" s="6" customFormat="1" x14ac:dyDescent="0.3">
      <c r="A40" s="5">
        <v>38</v>
      </c>
      <c r="B40" s="6" t="s">
        <v>225</v>
      </c>
      <c r="C40" s="6" t="b">
        <f>IF(ISERROR(VLOOKUP(B40,'Slides+PNGs'!$M:$M,1,FALSE)),FALSE,TRUE)</f>
        <v>1</v>
      </c>
      <c r="D40" s="5" t="b">
        <v>1</v>
      </c>
      <c r="E40" s="5" t="str">
        <f>INDEX('Slides+PNGs'!$H:H,MATCH($B40,'Slides+PNGs'!M:M,0))</f>
        <v>N/A</v>
      </c>
      <c r="F40" s="5" t="str">
        <f>INDEX('Slides+PNGs'!$I:I,MATCH($B40,'Slides+PNGs'!M:M,0))</f>
        <v>N/A</v>
      </c>
      <c r="G40" s="5">
        <f>INDEX('Slides+PNGs'!$L:L,MATCH($B40,'Slides+PNGs'!M:M,0))</f>
        <v>0</v>
      </c>
      <c r="H40" s="5" t="s">
        <v>11</v>
      </c>
      <c r="I40" s="5" t="s">
        <v>219</v>
      </c>
      <c r="J40" s="5" t="s">
        <v>64</v>
      </c>
      <c r="K40" s="5"/>
      <c r="L40" s="5"/>
      <c r="M40" s="5"/>
    </row>
    <row r="41" spans="1:13" s="6" customFormat="1" hidden="1" x14ac:dyDescent="0.3">
      <c r="A41" s="5">
        <v>39</v>
      </c>
      <c r="B41" s="6" t="s">
        <v>226</v>
      </c>
      <c r="C41" s="6" t="b">
        <f>IF(ISERROR(VLOOKUP(B41,'Slides+PNGs'!$M:$M,1,FALSE)),FALSE,TRUE)</f>
        <v>1</v>
      </c>
      <c r="D41" s="5" t="b">
        <v>1</v>
      </c>
      <c r="E41" s="5" t="str">
        <f>INDEX('Slides+PNGs'!$H:H,MATCH($B41,'Slides+PNGs'!M:M,0))</f>
        <v>N/A</v>
      </c>
      <c r="F41" s="5" t="str">
        <f>INDEX('Slides+PNGs'!$I:I,MATCH($B41,'Slides+PNGs'!M:M,0))</f>
        <v>N/A</v>
      </c>
      <c r="G41" s="5">
        <f>INDEX('Slides+PNGs'!$L:L,MATCH($B41,'Slides+PNGs'!M:M,0))</f>
        <v>0</v>
      </c>
      <c r="H41" s="5" t="s">
        <v>11</v>
      </c>
      <c r="I41" s="5" t="s">
        <v>219</v>
      </c>
      <c r="J41" s="5" t="s">
        <v>64</v>
      </c>
      <c r="K41" s="5"/>
      <c r="L41" s="5"/>
      <c r="M41" s="5"/>
    </row>
    <row r="42" spans="1:13" s="6" customFormat="1" hidden="1" x14ac:dyDescent="0.3">
      <c r="A42" s="5">
        <v>40</v>
      </c>
      <c r="B42" s="4" t="s">
        <v>227</v>
      </c>
      <c r="C42" s="4" t="b">
        <v>0</v>
      </c>
      <c r="D42" s="5" t="b">
        <v>1</v>
      </c>
      <c r="E42" s="5" t="e">
        <f>INDEX('Slides+PNGs'!$H:H,MATCH($B42,'Slides+PNGs'!M:M,0))</f>
        <v>#N/A</v>
      </c>
      <c r="F42" s="5" t="e">
        <f>INDEX('Slides+PNGs'!$I:I,MATCH($B42,'Slides+PNGs'!M:M,0))</f>
        <v>#N/A</v>
      </c>
      <c r="G42" s="5" t="e">
        <f>INDEX('Slides+PNGs'!$L:L,MATCH($B42,'Slides+PNGs'!M:M,0))</f>
        <v>#N/A</v>
      </c>
      <c r="H42" s="5" t="s">
        <v>11</v>
      </c>
      <c r="I42" s="5" t="s">
        <v>219</v>
      </c>
      <c r="J42" s="5" t="s">
        <v>105</v>
      </c>
      <c r="K42" s="5"/>
      <c r="L42" s="5"/>
      <c r="M42" s="9" t="s">
        <v>678</v>
      </c>
    </row>
    <row r="43" spans="1:13" s="6" customFormat="1" hidden="1" x14ac:dyDescent="0.3">
      <c r="A43" s="5">
        <v>41</v>
      </c>
      <c r="B43" s="4" t="s">
        <v>228</v>
      </c>
      <c r="C43" s="4" t="b">
        <v>0</v>
      </c>
      <c r="D43" s="5" t="b">
        <v>1</v>
      </c>
      <c r="E43" s="5" t="e">
        <f>INDEX('Slides+PNGs'!$H:H,MATCH($B43,'Slides+PNGs'!M:M,0))</f>
        <v>#N/A</v>
      </c>
      <c r="F43" s="5" t="e">
        <f>INDEX('Slides+PNGs'!$I:I,MATCH($B43,'Slides+PNGs'!M:M,0))</f>
        <v>#N/A</v>
      </c>
      <c r="G43" s="5" t="e">
        <f>INDEX('Slides+PNGs'!$L:L,MATCH($B43,'Slides+PNGs'!M:M,0))</f>
        <v>#N/A</v>
      </c>
      <c r="H43" s="5" t="s">
        <v>11</v>
      </c>
      <c r="I43" s="5" t="s">
        <v>219</v>
      </c>
      <c r="J43" s="5" t="s">
        <v>105</v>
      </c>
      <c r="K43" s="5"/>
      <c r="L43" s="5"/>
      <c r="M43" s="9" t="s">
        <v>678</v>
      </c>
    </row>
    <row r="44" spans="1:13" s="6" customFormat="1" hidden="1" x14ac:dyDescent="0.3">
      <c r="A44" s="5">
        <v>42</v>
      </c>
      <c r="B44" s="4" t="s">
        <v>229</v>
      </c>
      <c r="C44" s="4" t="b">
        <v>0</v>
      </c>
      <c r="D44" s="5" t="b">
        <v>1</v>
      </c>
      <c r="E44" s="5" t="e">
        <f>INDEX('Slides+PNGs'!$H:H,MATCH($B44,'Slides+PNGs'!M:M,0))</f>
        <v>#N/A</v>
      </c>
      <c r="F44" s="5" t="e">
        <f>INDEX('Slides+PNGs'!$I:I,MATCH($B44,'Slides+PNGs'!M:M,0))</f>
        <v>#N/A</v>
      </c>
      <c r="G44" s="5" t="e">
        <f>INDEX('Slides+PNGs'!$L:L,MATCH($B44,'Slides+PNGs'!M:M,0))</f>
        <v>#N/A</v>
      </c>
      <c r="H44" s="5" t="s">
        <v>11</v>
      </c>
      <c r="I44" s="5" t="s">
        <v>219</v>
      </c>
      <c r="J44" s="5" t="s">
        <v>105</v>
      </c>
      <c r="K44" s="5"/>
      <c r="L44" s="5"/>
      <c r="M44" s="9" t="s">
        <v>678</v>
      </c>
    </row>
    <row r="45" spans="1:13" s="6" customFormat="1" hidden="1" x14ac:dyDescent="0.3">
      <c r="A45" s="5">
        <v>43</v>
      </c>
      <c r="B45" s="4" t="s">
        <v>230</v>
      </c>
      <c r="C45" s="4" t="b">
        <v>0</v>
      </c>
      <c r="D45" s="5" t="b">
        <v>1</v>
      </c>
      <c r="E45" s="5" t="e">
        <f>INDEX('Slides+PNGs'!$H:H,MATCH($B45,'Slides+PNGs'!M:M,0))</f>
        <v>#N/A</v>
      </c>
      <c r="F45" s="5" t="e">
        <f>INDEX('Slides+PNGs'!$I:I,MATCH($B45,'Slides+PNGs'!M:M,0))</f>
        <v>#N/A</v>
      </c>
      <c r="G45" s="5" t="e">
        <f>INDEX('Slides+PNGs'!$L:L,MATCH($B45,'Slides+PNGs'!M:M,0))</f>
        <v>#N/A</v>
      </c>
      <c r="H45" s="5" t="s">
        <v>11</v>
      </c>
      <c r="I45" s="5" t="s">
        <v>219</v>
      </c>
      <c r="J45" s="5" t="s">
        <v>105</v>
      </c>
      <c r="K45" s="5"/>
      <c r="L45" s="5"/>
      <c r="M45" s="9" t="s">
        <v>678</v>
      </c>
    </row>
    <row r="46" spans="1:13" s="6" customFormat="1" hidden="1" x14ac:dyDescent="0.3">
      <c r="A46" s="5">
        <v>44</v>
      </c>
      <c r="B46" s="4" t="s">
        <v>231</v>
      </c>
      <c r="C46" s="4" t="b">
        <v>0</v>
      </c>
      <c r="D46" s="5" t="b">
        <v>1</v>
      </c>
      <c r="E46" s="5" t="e">
        <f>INDEX('Slides+PNGs'!$H:H,MATCH($B46,'Slides+PNGs'!M:M,0))</f>
        <v>#N/A</v>
      </c>
      <c r="F46" s="5" t="e">
        <f>INDEX('Slides+PNGs'!$I:I,MATCH($B46,'Slides+PNGs'!M:M,0))</f>
        <v>#N/A</v>
      </c>
      <c r="G46" s="5" t="e">
        <f>INDEX('Slides+PNGs'!$L:L,MATCH($B46,'Slides+PNGs'!M:M,0))</f>
        <v>#N/A</v>
      </c>
      <c r="H46" s="5" t="s">
        <v>11</v>
      </c>
      <c r="I46" s="5" t="s">
        <v>219</v>
      </c>
      <c r="J46" s="5" t="s">
        <v>105</v>
      </c>
      <c r="K46" s="5"/>
      <c r="L46" s="5"/>
      <c r="M46" s="9" t="s">
        <v>678</v>
      </c>
    </row>
    <row r="47" spans="1:13" s="6" customFormat="1" hidden="1" x14ac:dyDescent="0.3">
      <c r="A47" s="5">
        <v>45</v>
      </c>
      <c r="B47" s="4" t="s">
        <v>232</v>
      </c>
      <c r="C47" s="4" t="b">
        <v>0</v>
      </c>
      <c r="D47" s="5" t="b">
        <v>1</v>
      </c>
      <c r="E47" s="5" t="e">
        <f>INDEX('Slides+PNGs'!$H:H,MATCH($B47,'Slides+PNGs'!M:M,0))</f>
        <v>#N/A</v>
      </c>
      <c r="F47" s="5" t="e">
        <f>INDEX('Slides+PNGs'!$I:I,MATCH($B47,'Slides+PNGs'!M:M,0))</f>
        <v>#N/A</v>
      </c>
      <c r="G47" s="5" t="e">
        <f>INDEX('Slides+PNGs'!$L:L,MATCH($B47,'Slides+PNGs'!M:M,0))</f>
        <v>#N/A</v>
      </c>
      <c r="H47" s="5" t="s">
        <v>11</v>
      </c>
      <c r="I47" s="5" t="s">
        <v>233</v>
      </c>
      <c r="J47" s="5" t="s">
        <v>81</v>
      </c>
      <c r="K47" s="5"/>
      <c r="L47" s="5"/>
      <c r="M47" s="9" t="s">
        <v>678</v>
      </c>
    </row>
    <row r="48" spans="1:13" s="6" customFormat="1" hidden="1" x14ac:dyDescent="0.3">
      <c r="A48" s="5">
        <v>46</v>
      </c>
      <c r="B48" s="4" t="s">
        <v>234</v>
      </c>
      <c r="C48" s="4" t="b">
        <v>0</v>
      </c>
      <c r="D48" s="5" t="b">
        <v>1</v>
      </c>
      <c r="E48" s="5" t="e">
        <f>INDEX('Slides+PNGs'!$H:H,MATCH($B48,'Slides+PNGs'!M:M,0))</f>
        <v>#N/A</v>
      </c>
      <c r="F48" s="5" t="e">
        <f>INDEX('Slides+PNGs'!$I:I,MATCH($B48,'Slides+PNGs'!M:M,0))</f>
        <v>#N/A</v>
      </c>
      <c r="G48" s="5" t="e">
        <f>INDEX('Slides+PNGs'!$L:L,MATCH($B48,'Slides+PNGs'!M:M,0))</f>
        <v>#N/A</v>
      </c>
      <c r="H48" s="5" t="s">
        <v>11</v>
      </c>
      <c r="I48" s="5" t="s">
        <v>233</v>
      </c>
      <c r="J48" s="5" t="s">
        <v>81</v>
      </c>
      <c r="K48" s="5"/>
      <c r="L48" s="5"/>
      <c r="M48" s="9" t="s">
        <v>678</v>
      </c>
    </row>
    <row r="49" spans="1:13" s="6" customFormat="1" hidden="1" x14ac:dyDescent="0.3">
      <c r="A49" s="5">
        <v>47</v>
      </c>
      <c r="B49" s="4" t="s">
        <v>235</v>
      </c>
      <c r="C49" s="4" t="b">
        <v>0</v>
      </c>
      <c r="D49" s="5" t="b">
        <v>1</v>
      </c>
      <c r="E49" s="5" t="e">
        <f>INDEX('Slides+PNGs'!$H:H,MATCH($B49,'Slides+PNGs'!M:M,0))</f>
        <v>#N/A</v>
      </c>
      <c r="F49" s="5" t="e">
        <f>INDEX('Slides+PNGs'!$I:I,MATCH($B49,'Slides+PNGs'!M:M,0))</f>
        <v>#N/A</v>
      </c>
      <c r="G49" s="5" t="e">
        <f>INDEX('Slides+PNGs'!$L:L,MATCH($B49,'Slides+PNGs'!M:M,0))</f>
        <v>#N/A</v>
      </c>
      <c r="H49" s="5" t="s">
        <v>11</v>
      </c>
      <c r="I49" s="5" t="s">
        <v>233</v>
      </c>
      <c r="J49" s="5" t="s">
        <v>81</v>
      </c>
      <c r="K49" s="5"/>
      <c r="L49" s="5"/>
      <c r="M49" s="9" t="s">
        <v>678</v>
      </c>
    </row>
    <row r="50" spans="1:13" s="6" customFormat="1" hidden="1" x14ac:dyDescent="0.3">
      <c r="A50" s="5">
        <v>48</v>
      </c>
      <c r="B50" s="4" t="s">
        <v>236</v>
      </c>
      <c r="C50" s="4" t="b">
        <v>0</v>
      </c>
      <c r="D50" s="5" t="b">
        <v>1</v>
      </c>
      <c r="E50" s="5" t="e">
        <f>INDEX('Slides+PNGs'!$H:H,MATCH($B50,'Slides+PNGs'!M:M,0))</f>
        <v>#N/A</v>
      </c>
      <c r="F50" s="5" t="e">
        <f>INDEX('Slides+PNGs'!$I:I,MATCH($B50,'Slides+PNGs'!M:M,0))</f>
        <v>#N/A</v>
      </c>
      <c r="G50" s="5" t="e">
        <f>INDEX('Slides+PNGs'!$L:L,MATCH($B50,'Slides+PNGs'!M:M,0))</f>
        <v>#N/A</v>
      </c>
      <c r="H50" s="5" t="s">
        <v>11</v>
      </c>
      <c r="I50" s="5" t="s">
        <v>233</v>
      </c>
      <c r="J50" s="5" t="s">
        <v>81</v>
      </c>
      <c r="K50" s="5"/>
      <c r="L50" s="5"/>
      <c r="M50" s="9" t="s">
        <v>678</v>
      </c>
    </row>
    <row r="51" spans="1:13" s="6" customFormat="1" hidden="1" x14ac:dyDescent="0.3">
      <c r="A51" s="5">
        <v>49</v>
      </c>
      <c r="B51" s="4" t="s">
        <v>237</v>
      </c>
      <c r="C51" s="4" t="b">
        <v>0</v>
      </c>
      <c r="D51" s="5" t="b">
        <v>1</v>
      </c>
      <c r="E51" s="5" t="e">
        <f>INDEX('Slides+PNGs'!$H:H,MATCH($B51,'Slides+PNGs'!M:M,0))</f>
        <v>#N/A</v>
      </c>
      <c r="F51" s="5" t="e">
        <f>INDEX('Slides+PNGs'!$I:I,MATCH($B51,'Slides+PNGs'!M:M,0))</f>
        <v>#N/A</v>
      </c>
      <c r="G51" s="5" t="e">
        <f>INDEX('Slides+PNGs'!$L:L,MATCH($B51,'Slides+PNGs'!M:M,0))</f>
        <v>#N/A</v>
      </c>
      <c r="H51" s="5" t="s">
        <v>11</v>
      </c>
      <c r="I51" s="5" t="s">
        <v>233</v>
      </c>
      <c r="J51" s="5" t="s">
        <v>81</v>
      </c>
      <c r="K51" s="5"/>
      <c r="L51" s="5"/>
      <c r="M51" s="9" t="s">
        <v>678</v>
      </c>
    </row>
    <row r="52" spans="1:13" s="6" customFormat="1" hidden="1" x14ac:dyDescent="0.3">
      <c r="A52" s="5">
        <v>50</v>
      </c>
      <c r="B52" s="4" t="s">
        <v>238</v>
      </c>
      <c r="C52" s="4" t="b">
        <v>0</v>
      </c>
      <c r="D52" s="5" t="b">
        <v>1</v>
      </c>
      <c r="E52" s="5" t="e">
        <f>INDEX('Slides+PNGs'!$H:H,MATCH($B52,'Slides+PNGs'!M:M,0))</f>
        <v>#N/A</v>
      </c>
      <c r="F52" s="5" t="e">
        <f>INDEX('Slides+PNGs'!$I:I,MATCH($B52,'Slides+PNGs'!M:M,0))</f>
        <v>#N/A</v>
      </c>
      <c r="G52" s="5" t="e">
        <f>INDEX('Slides+PNGs'!$L:L,MATCH($B52,'Slides+PNGs'!M:M,0))</f>
        <v>#N/A</v>
      </c>
      <c r="H52" s="5" t="s">
        <v>11</v>
      </c>
      <c r="I52" s="5" t="s">
        <v>233</v>
      </c>
      <c r="J52" s="5" t="s">
        <v>81</v>
      </c>
      <c r="K52" s="5"/>
      <c r="L52" s="5"/>
      <c r="M52" s="9" t="s">
        <v>678</v>
      </c>
    </row>
    <row r="53" spans="1:13" s="6" customFormat="1" hidden="1" x14ac:dyDescent="0.3">
      <c r="A53" s="5">
        <v>51</v>
      </c>
      <c r="B53" s="4" t="s">
        <v>239</v>
      </c>
      <c r="C53" s="4" t="b">
        <v>0</v>
      </c>
      <c r="D53" s="5" t="b">
        <v>1</v>
      </c>
      <c r="E53" s="5" t="e">
        <f>INDEX('Slides+PNGs'!$H:H,MATCH($B53,'Slides+PNGs'!M:M,0))</f>
        <v>#N/A</v>
      </c>
      <c r="F53" s="5" t="e">
        <f>INDEX('Slides+PNGs'!$I:I,MATCH($B53,'Slides+PNGs'!M:M,0))</f>
        <v>#N/A</v>
      </c>
      <c r="G53" s="5" t="e">
        <f>INDEX('Slides+PNGs'!$L:L,MATCH($B53,'Slides+PNGs'!M:M,0))</f>
        <v>#N/A</v>
      </c>
      <c r="H53" s="5" t="s">
        <v>11</v>
      </c>
      <c r="I53" s="5" t="s">
        <v>233</v>
      </c>
      <c r="J53" s="5" t="s">
        <v>81</v>
      </c>
      <c r="K53" s="5"/>
      <c r="L53" s="5"/>
      <c r="M53" s="9" t="s">
        <v>678</v>
      </c>
    </row>
    <row r="54" spans="1:13" s="6" customFormat="1" hidden="1" x14ac:dyDescent="0.3">
      <c r="A54" s="5">
        <v>52</v>
      </c>
      <c r="B54" s="4" t="s">
        <v>240</v>
      </c>
      <c r="C54" s="4" t="b">
        <v>0</v>
      </c>
      <c r="D54" s="5" t="b">
        <v>1</v>
      </c>
      <c r="E54" s="5" t="e">
        <f>INDEX('Slides+PNGs'!$H:H,MATCH($B54,'Slides+PNGs'!M:M,0))</f>
        <v>#N/A</v>
      </c>
      <c r="F54" s="5" t="e">
        <f>INDEX('Slides+PNGs'!$I:I,MATCH($B54,'Slides+PNGs'!M:M,0))</f>
        <v>#N/A</v>
      </c>
      <c r="G54" s="5" t="e">
        <f>INDEX('Slides+PNGs'!$L:L,MATCH($B54,'Slides+PNGs'!M:M,0))</f>
        <v>#N/A</v>
      </c>
      <c r="H54" s="5" t="s">
        <v>11</v>
      </c>
      <c r="I54" s="5" t="s">
        <v>233</v>
      </c>
      <c r="J54" s="5" t="s">
        <v>81</v>
      </c>
      <c r="K54" s="5"/>
      <c r="L54" s="5"/>
      <c r="M54" s="9" t="s">
        <v>678</v>
      </c>
    </row>
    <row r="55" spans="1:13" s="6" customFormat="1" hidden="1" x14ac:dyDescent="0.3">
      <c r="A55" s="5">
        <v>53</v>
      </c>
      <c r="B55" s="4" t="s">
        <v>241</v>
      </c>
      <c r="C55" s="4" t="b">
        <v>0</v>
      </c>
      <c r="D55" s="5" t="b">
        <v>1</v>
      </c>
      <c r="E55" s="5" t="e">
        <f>INDEX('Slides+PNGs'!$H:H,MATCH($B55,'Slides+PNGs'!M:M,0))</f>
        <v>#N/A</v>
      </c>
      <c r="F55" s="5" t="e">
        <f>INDEX('Slides+PNGs'!$I:I,MATCH($B55,'Slides+PNGs'!M:M,0))</f>
        <v>#N/A</v>
      </c>
      <c r="G55" s="5" t="e">
        <f>INDEX('Slides+PNGs'!$L:L,MATCH($B55,'Slides+PNGs'!M:M,0))</f>
        <v>#N/A</v>
      </c>
      <c r="H55" s="5" t="s">
        <v>11</v>
      </c>
      <c r="I55" s="5" t="s">
        <v>233</v>
      </c>
      <c r="J55" s="5" t="s">
        <v>81</v>
      </c>
      <c r="K55" s="5"/>
      <c r="L55" s="5"/>
      <c r="M55" s="9" t="s">
        <v>678</v>
      </c>
    </row>
    <row r="56" spans="1:13" s="6" customFormat="1" hidden="1" x14ac:dyDescent="0.3">
      <c r="A56" s="5">
        <v>54</v>
      </c>
      <c r="B56" s="4" t="s">
        <v>242</v>
      </c>
      <c r="C56" s="4" t="b">
        <v>0</v>
      </c>
      <c r="D56" s="5" t="b">
        <v>1</v>
      </c>
      <c r="E56" s="5" t="e">
        <f>INDEX('Slides+PNGs'!$H:H,MATCH($B56,'Slides+PNGs'!M:M,0))</f>
        <v>#N/A</v>
      </c>
      <c r="F56" s="5" t="e">
        <f>INDEX('Slides+PNGs'!$I:I,MATCH($B56,'Slides+PNGs'!M:M,0))</f>
        <v>#N/A</v>
      </c>
      <c r="G56" s="5" t="e">
        <f>INDEX('Slides+PNGs'!$L:L,MATCH($B56,'Slides+PNGs'!M:M,0))</f>
        <v>#N/A</v>
      </c>
      <c r="H56" s="5" t="s">
        <v>11</v>
      </c>
      <c r="I56" s="5" t="s">
        <v>233</v>
      </c>
      <c r="J56" s="5" t="s">
        <v>81</v>
      </c>
      <c r="K56" s="5"/>
      <c r="L56" s="5"/>
      <c r="M56" s="9" t="s">
        <v>678</v>
      </c>
    </row>
    <row r="57" spans="1:13" s="6" customFormat="1" hidden="1" x14ac:dyDescent="0.3">
      <c r="A57" s="5">
        <v>55</v>
      </c>
      <c r="B57" s="4" t="s">
        <v>243</v>
      </c>
      <c r="C57" s="4" t="b">
        <v>0</v>
      </c>
      <c r="D57" s="5" t="b">
        <v>1</v>
      </c>
      <c r="E57" s="5" t="e">
        <f>INDEX('Slides+PNGs'!$H:H,MATCH($B57,'Slides+PNGs'!M:M,0))</f>
        <v>#N/A</v>
      </c>
      <c r="F57" s="5" t="e">
        <f>INDEX('Slides+PNGs'!$I:I,MATCH($B57,'Slides+PNGs'!M:M,0))</f>
        <v>#N/A</v>
      </c>
      <c r="G57" s="5" t="e">
        <f>INDEX('Slides+PNGs'!$L:L,MATCH($B57,'Slides+PNGs'!M:M,0))</f>
        <v>#N/A</v>
      </c>
      <c r="H57" s="5" t="s">
        <v>11</v>
      </c>
      <c r="I57" s="5" t="s">
        <v>233</v>
      </c>
      <c r="J57" s="5" t="s">
        <v>81</v>
      </c>
      <c r="K57" s="5"/>
      <c r="L57" s="5"/>
      <c r="M57" s="9" t="s">
        <v>678</v>
      </c>
    </row>
    <row r="58" spans="1:13" s="6" customFormat="1" hidden="1" x14ac:dyDescent="0.3">
      <c r="A58" s="5">
        <v>56</v>
      </c>
      <c r="B58" s="4" t="s">
        <v>244</v>
      </c>
      <c r="C58" s="4" t="b">
        <v>0</v>
      </c>
      <c r="D58" s="5" t="b">
        <v>1</v>
      </c>
      <c r="E58" s="5" t="e">
        <f>INDEX('Slides+PNGs'!$H:H,MATCH($B58,'Slides+PNGs'!M:M,0))</f>
        <v>#N/A</v>
      </c>
      <c r="F58" s="5" t="e">
        <f>INDEX('Slides+PNGs'!$I:I,MATCH($B58,'Slides+PNGs'!M:M,0))</f>
        <v>#N/A</v>
      </c>
      <c r="G58" s="5" t="e">
        <f>INDEX('Slides+PNGs'!$L:L,MATCH($B58,'Slides+PNGs'!M:M,0))</f>
        <v>#N/A</v>
      </c>
      <c r="H58" s="5" t="s">
        <v>11</v>
      </c>
      <c r="I58" s="5" t="s">
        <v>233</v>
      </c>
      <c r="J58" s="5" t="s">
        <v>81</v>
      </c>
      <c r="K58" s="5"/>
      <c r="L58" s="5"/>
      <c r="M58" s="9" t="s">
        <v>678</v>
      </c>
    </row>
    <row r="59" spans="1:13" s="6" customFormat="1" hidden="1" x14ac:dyDescent="0.3">
      <c r="A59" s="5">
        <v>57</v>
      </c>
      <c r="B59" s="4" t="s">
        <v>245</v>
      </c>
      <c r="C59" s="4" t="b">
        <v>0</v>
      </c>
      <c r="D59" s="5" t="b">
        <v>1</v>
      </c>
      <c r="E59" s="5" t="e">
        <f>INDEX('Slides+PNGs'!$H:H,MATCH($B59,'Slides+PNGs'!M:M,0))</f>
        <v>#N/A</v>
      </c>
      <c r="F59" s="5" t="e">
        <f>INDEX('Slides+PNGs'!$I:I,MATCH($B59,'Slides+PNGs'!M:M,0))</f>
        <v>#N/A</v>
      </c>
      <c r="G59" s="5" t="e">
        <f>INDEX('Slides+PNGs'!$L:L,MATCH($B59,'Slides+PNGs'!M:M,0))</f>
        <v>#N/A</v>
      </c>
      <c r="H59" s="5" t="s">
        <v>11</v>
      </c>
      <c r="I59" s="5" t="s">
        <v>233</v>
      </c>
      <c r="J59" s="5" t="s">
        <v>81</v>
      </c>
      <c r="K59" s="5"/>
      <c r="L59" s="5"/>
      <c r="M59" s="9" t="s">
        <v>678</v>
      </c>
    </row>
    <row r="60" spans="1:13" s="6" customFormat="1" hidden="1" x14ac:dyDescent="0.3">
      <c r="A60" s="5">
        <v>58</v>
      </c>
      <c r="B60" s="4" t="s">
        <v>246</v>
      </c>
      <c r="C60" s="4" t="b">
        <v>0</v>
      </c>
      <c r="D60" s="5" t="b">
        <v>1</v>
      </c>
      <c r="E60" s="5" t="e">
        <f>INDEX('Slides+PNGs'!$H:H,MATCH($B60,'Slides+PNGs'!M:M,0))</f>
        <v>#N/A</v>
      </c>
      <c r="F60" s="5" t="e">
        <f>INDEX('Slides+PNGs'!$I:I,MATCH($B60,'Slides+PNGs'!M:M,0))</f>
        <v>#N/A</v>
      </c>
      <c r="G60" s="5" t="e">
        <f>INDEX('Slides+PNGs'!$L:L,MATCH($B60,'Slides+PNGs'!M:M,0))</f>
        <v>#N/A</v>
      </c>
      <c r="H60" s="5" t="s">
        <v>11</v>
      </c>
      <c r="I60" s="5" t="s">
        <v>233</v>
      </c>
      <c r="J60" s="5" t="s">
        <v>81</v>
      </c>
      <c r="K60" s="5"/>
      <c r="L60" s="5"/>
      <c r="M60" s="9" t="s">
        <v>678</v>
      </c>
    </row>
    <row r="61" spans="1:13" s="6" customFormat="1" hidden="1" x14ac:dyDescent="0.3">
      <c r="A61" s="5">
        <v>59</v>
      </c>
      <c r="B61" s="4" t="s">
        <v>247</v>
      </c>
      <c r="C61" s="4" t="b">
        <v>0</v>
      </c>
      <c r="D61" s="5" t="b">
        <v>1</v>
      </c>
      <c r="E61" s="5" t="e">
        <f>INDEX('Slides+PNGs'!$H:H,MATCH($B61,'Slides+PNGs'!M:M,0))</f>
        <v>#N/A</v>
      </c>
      <c r="F61" s="5" t="e">
        <f>INDEX('Slides+PNGs'!$I:I,MATCH($B61,'Slides+PNGs'!M:M,0))</f>
        <v>#N/A</v>
      </c>
      <c r="G61" s="5" t="e">
        <f>INDEX('Slides+PNGs'!$L:L,MATCH($B61,'Slides+PNGs'!M:M,0))</f>
        <v>#N/A</v>
      </c>
      <c r="H61" s="5" t="s">
        <v>11</v>
      </c>
      <c r="I61" s="5" t="s">
        <v>233</v>
      </c>
      <c r="J61" s="5" t="s">
        <v>81</v>
      </c>
      <c r="K61" s="5"/>
      <c r="L61" s="5"/>
      <c r="M61" s="9" t="s">
        <v>678</v>
      </c>
    </row>
    <row r="62" spans="1:13" s="6" customFormat="1" hidden="1" x14ac:dyDescent="0.3">
      <c r="A62" s="6">
        <v>60</v>
      </c>
      <c r="B62" s="9" t="s">
        <v>249</v>
      </c>
      <c r="C62" s="4" t="b">
        <f>IF(ISERROR(VLOOKUP(B62,'Slides+PNGs'!$M:$M,1,FALSE)),FALSE,TRUE)</f>
        <v>0</v>
      </c>
      <c r="D62" s="5" t="b">
        <v>1</v>
      </c>
      <c r="E62" s="5" t="e">
        <f>INDEX('Slides+PNGs'!$H:H,MATCH($B62,'Slides+PNGs'!M:M,0))</f>
        <v>#N/A</v>
      </c>
      <c r="F62" s="5" t="e">
        <f>INDEX('Slides+PNGs'!$I:I,MATCH($B62,'Slides+PNGs'!M:M,0))</f>
        <v>#N/A</v>
      </c>
      <c r="G62" s="5" t="e">
        <f>INDEX('Slides+PNGs'!$L:L,MATCH($B62,'Slides+PNGs'!M:M,0))</f>
        <v>#N/A</v>
      </c>
      <c r="H62" s="5" t="s">
        <v>11</v>
      </c>
      <c r="I62" s="6" t="s">
        <v>248</v>
      </c>
      <c r="J62" s="6" t="s">
        <v>107</v>
      </c>
      <c r="M62" s="9" t="s">
        <v>678</v>
      </c>
    </row>
    <row r="63" spans="1:13" s="6" customFormat="1" hidden="1" x14ac:dyDescent="0.3">
      <c r="A63" s="5">
        <v>61</v>
      </c>
      <c r="B63" s="9" t="s">
        <v>250</v>
      </c>
      <c r="C63" s="4" t="b">
        <f>IF(ISERROR(VLOOKUP(B63,'Slides+PNGs'!$M:$M,1,FALSE)),FALSE,TRUE)</f>
        <v>0</v>
      </c>
      <c r="D63" s="5" t="b">
        <v>1</v>
      </c>
      <c r="E63" s="5" t="e">
        <f>INDEX('Slides+PNGs'!$H:H,MATCH($B63,'Slides+PNGs'!M:M,0))</f>
        <v>#N/A</v>
      </c>
      <c r="F63" s="5" t="e">
        <f>INDEX('Slides+PNGs'!$I:I,MATCH($B63,'Slides+PNGs'!M:M,0))</f>
        <v>#N/A</v>
      </c>
      <c r="G63" s="5" t="e">
        <f>INDEX('Slides+PNGs'!$L:L,MATCH($B63,'Slides+PNGs'!M:M,0))</f>
        <v>#N/A</v>
      </c>
      <c r="H63" s="5" t="s">
        <v>11</v>
      </c>
      <c r="I63" s="6" t="s">
        <v>248</v>
      </c>
      <c r="J63" s="6" t="s">
        <v>107</v>
      </c>
      <c r="M63" s="9" t="s">
        <v>678</v>
      </c>
    </row>
    <row r="64" spans="1:13" s="6" customFormat="1" hidden="1" x14ac:dyDescent="0.3">
      <c r="A64" s="6">
        <v>62</v>
      </c>
      <c r="B64" s="9" t="s">
        <v>251</v>
      </c>
      <c r="C64" s="4" t="b">
        <f>IF(ISERROR(VLOOKUP(B64,'Slides+PNGs'!$M:$M,1,FALSE)),FALSE,TRUE)</f>
        <v>0</v>
      </c>
      <c r="D64" s="5" t="b">
        <v>1</v>
      </c>
      <c r="E64" s="5" t="e">
        <f>INDEX('Slides+PNGs'!$H:H,MATCH($B64,'Slides+PNGs'!M:M,0))</f>
        <v>#N/A</v>
      </c>
      <c r="F64" s="5" t="e">
        <f>INDEX('Slides+PNGs'!$I:I,MATCH($B64,'Slides+PNGs'!M:M,0))</f>
        <v>#N/A</v>
      </c>
      <c r="G64" s="5" t="e">
        <f>INDEX('Slides+PNGs'!$L:L,MATCH($B64,'Slides+PNGs'!M:M,0))</f>
        <v>#N/A</v>
      </c>
      <c r="H64" s="5" t="s">
        <v>11</v>
      </c>
      <c r="I64" s="6" t="s">
        <v>248</v>
      </c>
      <c r="J64" s="6" t="s">
        <v>107</v>
      </c>
      <c r="M64" s="9" t="s">
        <v>678</v>
      </c>
    </row>
    <row r="65" spans="1:13" s="6" customFormat="1" hidden="1" x14ac:dyDescent="0.3">
      <c r="A65" s="5">
        <v>63</v>
      </c>
      <c r="B65" s="9" t="s">
        <v>252</v>
      </c>
      <c r="C65" s="4" t="b">
        <f>IF(ISERROR(VLOOKUP(B65,'Slides+PNGs'!$M:$M,1,FALSE)),FALSE,TRUE)</f>
        <v>0</v>
      </c>
      <c r="D65" s="5" t="b">
        <v>1</v>
      </c>
      <c r="E65" s="5" t="e">
        <f>INDEX('Slides+PNGs'!$H:H,MATCH($B65,'Slides+PNGs'!M:M,0))</f>
        <v>#N/A</v>
      </c>
      <c r="F65" s="5" t="e">
        <f>INDEX('Slides+PNGs'!$I:I,MATCH($B65,'Slides+PNGs'!M:M,0))</f>
        <v>#N/A</v>
      </c>
      <c r="G65" s="5" t="e">
        <f>INDEX('Slides+PNGs'!$L:L,MATCH($B65,'Slides+PNGs'!M:M,0))</f>
        <v>#N/A</v>
      </c>
      <c r="H65" s="5" t="s">
        <v>11</v>
      </c>
      <c r="I65" s="6" t="s">
        <v>248</v>
      </c>
      <c r="J65" s="6" t="s">
        <v>107</v>
      </c>
      <c r="M65" s="9" t="s">
        <v>678</v>
      </c>
    </row>
    <row r="66" spans="1:13" s="6" customFormat="1" hidden="1" x14ac:dyDescent="0.3">
      <c r="A66" s="6">
        <v>64</v>
      </c>
      <c r="B66" s="9" t="s">
        <v>253</v>
      </c>
      <c r="C66" s="4" t="b">
        <f>IF(ISERROR(VLOOKUP(B66,'Slides+PNGs'!$M:$M,1,FALSE)),FALSE,TRUE)</f>
        <v>0</v>
      </c>
      <c r="D66" s="5" t="b">
        <v>1</v>
      </c>
      <c r="E66" s="5" t="e">
        <f>INDEX('Slides+PNGs'!$H:H,MATCH($B66,'Slides+PNGs'!M:M,0))</f>
        <v>#N/A</v>
      </c>
      <c r="F66" s="5" t="e">
        <f>INDEX('Slides+PNGs'!$I:I,MATCH($B66,'Slides+PNGs'!M:M,0))</f>
        <v>#N/A</v>
      </c>
      <c r="G66" s="5" t="e">
        <f>INDEX('Slides+PNGs'!$L:L,MATCH($B66,'Slides+PNGs'!M:M,0))</f>
        <v>#N/A</v>
      </c>
      <c r="H66" s="5" t="s">
        <v>11</v>
      </c>
      <c r="I66" s="6" t="s">
        <v>248</v>
      </c>
      <c r="J66" s="6" t="s">
        <v>107</v>
      </c>
      <c r="M66" s="9" t="s">
        <v>678</v>
      </c>
    </row>
    <row r="67" spans="1:13" s="6" customFormat="1" hidden="1" x14ac:dyDescent="0.3">
      <c r="A67" s="5">
        <v>65</v>
      </c>
      <c r="B67" s="9" t="s">
        <v>279</v>
      </c>
      <c r="C67" s="4" t="b">
        <f>IF(ISERROR(VLOOKUP(B67,'Slides+PNGs'!$M:$M,1,FALSE)),FALSE,TRUE)</f>
        <v>0</v>
      </c>
      <c r="D67" s="5" t="b">
        <v>1</v>
      </c>
      <c r="E67" s="5" t="e">
        <f>INDEX('Slides+PNGs'!$H:H,MATCH($B67,'Slides+PNGs'!M:M,0))</f>
        <v>#N/A</v>
      </c>
      <c r="F67" s="5" t="e">
        <f>INDEX('Slides+PNGs'!$I:I,MATCH($B67,'Slides+PNGs'!M:M,0))</f>
        <v>#N/A</v>
      </c>
      <c r="G67" s="5" t="e">
        <f>INDEX('Slides+PNGs'!$L:L,MATCH($B67,'Slides+PNGs'!M:M,0))</f>
        <v>#N/A</v>
      </c>
      <c r="H67" s="5" t="s">
        <v>11</v>
      </c>
      <c r="I67" s="6" t="s">
        <v>248</v>
      </c>
      <c r="J67" s="6" t="s">
        <v>107</v>
      </c>
      <c r="M67" s="9" t="s">
        <v>678</v>
      </c>
    </row>
    <row r="68" spans="1:13" s="6" customFormat="1" hidden="1" x14ac:dyDescent="0.3">
      <c r="A68" s="6">
        <v>66</v>
      </c>
      <c r="B68" s="9" t="s">
        <v>280</v>
      </c>
      <c r="C68" s="4" t="b">
        <f>IF(ISERROR(VLOOKUP(B68,'Slides+PNGs'!$M:$M,1,FALSE)),FALSE,TRUE)</f>
        <v>0</v>
      </c>
      <c r="D68" s="5" t="b">
        <v>1</v>
      </c>
      <c r="E68" s="5" t="e">
        <f>INDEX('Slides+PNGs'!$H:H,MATCH($B68,'Slides+PNGs'!M:M,0))</f>
        <v>#N/A</v>
      </c>
      <c r="F68" s="5" t="e">
        <f>INDEX('Slides+PNGs'!$I:I,MATCH($B68,'Slides+PNGs'!M:M,0))</f>
        <v>#N/A</v>
      </c>
      <c r="G68" s="5" t="e">
        <f>INDEX('Slides+PNGs'!$L:L,MATCH($B68,'Slides+PNGs'!M:M,0))</f>
        <v>#N/A</v>
      </c>
      <c r="H68" s="5" t="s">
        <v>11</v>
      </c>
      <c r="I68" s="6" t="s">
        <v>248</v>
      </c>
      <c r="J68" s="6" t="s">
        <v>107</v>
      </c>
      <c r="M68" s="9" t="s">
        <v>678</v>
      </c>
    </row>
    <row r="69" spans="1:13" s="6" customFormat="1" hidden="1" x14ac:dyDescent="0.3">
      <c r="A69" s="5">
        <v>67</v>
      </c>
      <c r="B69" s="9" t="s">
        <v>281</v>
      </c>
      <c r="C69" s="4" t="b">
        <f>IF(ISERROR(VLOOKUP(B69,'Slides+PNGs'!$M:$M,1,FALSE)),FALSE,TRUE)</f>
        <v>0</v>
      </c>
      <c r="D69" s="5" t="b">
        <v>1</v>
      </c>
      <c r="E69" s="5" t="e">
        <f>INDEX('Slides+PNGs'!$H:H,MATCH($B69,'Slides+PNGs'!M:M,0))</f>
        <v>#N/A</v>
      </c>
      <c r="F69" s="5" t="e">
        <f>INDEX('Slides+PNGs'!$I:I,MATCH($B69,'Slides+PNGs'!M:M,0))</f>
        <v>#N/A</v>
      </c>
      <c r="G69" s="5" t="e">
        <f>INDEX('Slides+PNGs'!$L:L,MATCH($B69,'Slides+PNGs'!M:M,0))</f>
        <v>#N/A</v>
      </c>
      <c r="H69" s="5" t="s">
        <v>11</v>
      </c>
      <c r="I69" s="6" t="s">
        <v>248</v>
      </c>
      <c r="J69" s="6" t="s">
        <v>107</v>
      </c>
      <c r="M69" s="9" t="s">
        <v>678</v>
      </c>
    </row>
    <row r="70" spans="1:13" s="6" customFormat="1" hidden="1" x14ac:dyDescent="0.3">
      <c r="A70" s="6">
        <v>68</v>
      </c>
      <c r="B70" s="9" t="s">
        <v>282</v>
      </c>
      <c r="C70" s="4" t="b">
        <f>IF(ISERROR(VLOOKUP(B70,'Slides+PNGs'!$M:$M,1,FALSE)),FALSE,TRUE)</f>
        <v>0</v>
      </c>
      <c r="D70" s="5" t="b">
        <v>1</v>
      </c>
      <c r="E70" s="5" t="e">
        <f>INDEX('Slides+PNGs'!$H:H,MATCH($B70,'Slides+PNGs'!M:M,0))</f>
        <v>#N/A</v>
      </c>
      <c r="F70" s="5" t="e">
        <f>INDEX('Slides+PNGs'!$I:I,MATCH($B70,'Slides+PNGs'!M:M,0))</f>
        <v>#N/A</v>
      </c>
      <c r="G70" s="5" t="e">
        <f>INDEX('Slides+PNGs'!$L:L,MATCH($B70,'Slides+PNGs'!M:M,0))</f>
        <v>#N/A</v>
      </c>
      <c r="H70" s="5" t="s">
        <v>11</v>
      </c>
      <c r="I70" s="6" t="s">
        <v>248</v>
      </c>
      <c r="J70" s="6" t="s">
        <v>107</v>
      </c>
      <c r="M70" s="9" t="s">
        <v>678</v>
      </c>
    </row>
    <row r="71" spans="1:13" s="6" customFormat="1" hidden="1" x14ac:dyDescent="0.3">
      <c r="A71" s="5">
        <v>69</v>
      </c>
      <c r="B71" s="9" t="s">
        <v>283</v>
      </c>
      <c r="C71" s="4" t="b">
        <f>IF(ISERROR(VLOOKUP(B71,'Slides+PNGs'!$M:$M,1,FALSE)),FALSE,TRUE)</f>
        <v>0</v>
      </c>
      <c r="D71" s="5" t="b">
        <v>1</v>
      </c>
      <c r="E71" s="5" t="e">
        <f>INDEX('Slides+PNGs'!$H:H,MATCH($B71,'Slides+PNGs'!M:M,0))</f>
        <v>#N/A</v>
      </c>
      <c r="F71" s="5" t="e">
        <f>INDEX('Slides+PNGs'!$I:I,MATCH($B71,'Slides+PNGs'!M:M,0))</f>
        <v>#N/A</v>
      </c>
      <c r="G71" s="5" t="e">
        <f>INDEX('Slides+PNGs'!$L:L,MATCH($B71,'Slides+PNGs'!M:M,0))</f>
        <v>#N/A</v>
      </c>
      <c r="H71" s="5" t="s">
        <v>11</v>
      </c>
      <c r="I71" s="6" t="s">
        <v>248</v>
      </c>
      <c r="J71" s="6" t="s">
        <v>107</v>
      </c>
      <c r="M71" s="9" t="s">
        <v>678</v>
      </c>
    </row>
    <row r="72" spans="1:13" s="6" customFormat="1" hidden="1" x14ac:dyDescent="0.3">
      <c r="A72" s="6">
        <v>70</v>
      </c>
      <c r="B72" s="9" t="s">
        <v>254</v>
      </c>
      <c r="C72" s="4" t="b">
        <f>IF(ISERROR(VLOOKUP(B72,'Slides+PNGs'!$M:$M,1,FALSE)),FALSE,TRUE)</f>
        <v>0</v>
      </c>
      <c r="D72" s="5" t="b">
        <v>1</v>
      </c>
      <c r="E72" s="5" t="e">
        <f>INDEX('Slides+PNGs'!$H:H,MATCH($B72,'Slides+PNGs'!M:M,0))</f>
        <v>#N/A</v>
      </c>
      <c r="F72" s="5" t="e">
        <f>INDEX('Slides+PNGs'!$I:I,MATCH($B72,'Slides+PNGs'!M:M,0))</f>
        <v>#N/A</v>
      </c>
      <c r="G72" s="5" t="e">
        <f>INDEX('Slides+PNGs'!$L:L,MATCH($B72,'Slides+PNGs'!M:M,0))</f>
        <v>#N/A</v>
      </c>
      <c r="H72" s="5" t="s">
        <v>11</v>
      </c>
      <c r="I72" s="6" t="s">
        <v>248</v>
      </c>
      <c r="J72" s="6" t="s">
        <v>107</v>
      </c>
      <c r="M72" s="9" t="s">
        <v>678</v>
      </c>
    </row>
    <row r="73" spans="1:13" s="6" customFormat="1" hidden="1" x14ac:dyDescent="0.3">
      <c r="A73" s="5">
        <v>71</v>
      </c>
      <c r="B73" s="9" t="s">
        <v>255</v>
      </c>
      <c r="C73" s="4" t="b">
        <f>IF(ISERROR(VLOOKUP(B73,'Slides+PNGs'!$M:$M,1,FALSE)),FALSE,TRUE)</f>
        <v>0</v>
      </c>
      <c r="D73" s="5" t="b">
        <v>1</v>
      </c>
      <c r="E73" s="5" t="e">
        <f>INDEX('Slides+PNGs'!$H:H,MATCH($B73,'Slides+PNGs'!M:M,0))</f>
        <v>#N/A</v>
      </c>
      <c r="F73" s="5" t="e">
        <f>INDEX('Slides+PNGs'!$I:I,MATCH($B73,'Slides+PNGs'!M:M,0))</f>
        <v>#N/A</v>
      </c>
      <c r="G73" s="5" t="e">
        <f>INDEX('Slides+PNGs'!$L:L,MATCH($B73,'Slides+PNGs'!M:M,0))</f>
        <v>#N/A</v>
      </c>
      <c r="H73" s="5" t="s">
        <v>11</v>
      </c>
      <c r="I73" s="6" t="s">
        <v>248</v>
      </c>
      <c r="J73" s="6" t="s">
        <v>107</v>
      </c>
      <c r="M73" s="9" t="s">
        <v>678</v>
      </c>
    </row>
    <row r="74" spans="1:13" s="6" customFormat="1" hidden="1" x14ac:dyDescent="0.3">
      <c r="A74" s="6">
        <v>72</v>
      </c>
      <c r="B74" s="9" t="s">
        <v>256</v>
      </c>
      <c r="C74" s="4" t="b">
        <f>IF(ISERROR(VLOOKUP(B74,'Slides+PNGs'!$M:$M,1,FALSE)),FALSE,TRUE)</f>
        <v>0</v>
      </c>
      <c r="D74" s="5" t="b">
        <v>1</v>
      </c>
      <c r="E74" s="5" t="e">
        <f>INDEX('Slides+PNGs'!$H:H,MATCH($B74,'Slides+PNGs'!M:M,0))</f>
        <v>#N/A</v>
      </c>
      <c r="F74" s="5" t="e">
        <f>INDEX('Slides+PNGs'!$I:I,MATCH($B74,'Slides+PNGs'!M:M,0))</f>
        <v>#N/A</v>
      </c>
      <c r="G74" s="5" t="e">
        <f>INDEX('Slides+PNGs'!$L:L,MATCH($B74,'Slides+PNGs'!M:M,0))</f>
        <v>#N/A</v>
      </c>
      <c r="H74" s="5" t="s">
        <v>11</v>
      </c>
      <c r="I74" s="6" t="s">
        <v>248</v>
      </c>
      <c r="J74" s="6" t="s">
        <v>107</v>
      </c>
      <c r="M74" s="9" t="s">
        <v>678</v>
      </c>
    </row>
    <row r="75" spans="1:13" s="6" customFormat="1" hidden="1" x14ac:dyDescent="0.3">
      <c r="A75" s="5">
        <v>73</v>
      </c>
      <c r="B75" s="9" t="s">
        <v>257</v>
      </c>
      <c r="C75" s="4" t="b">
        <f>IF(ISERROR(VLOOKUP(B75,'Slides+PNGs'!$M:$M,1,FALSE)),FALSE,TRUE)</f>
        <v>0</v>
      </c>
      <c r="D75" s="5" t="b">
        <v>1</v>
      </c>
      <c r="E75" s="5" t="e">
        <f>INDEX('Slides+PNGs'!$H:H,MATCH($B75,'Slides+PNGs'!M:M,0))</f>
        <v>#N/A</v>
      </c>
      <c r="F75" s="5" t="e">
        <f>INDEX('Slides+PNGs'!$I:I,MATCH($B75,'Slides+PNGs'!M:M,0))</f>
        <v>#N/A</v>
      </c>
      <c r="G75" s="5" t="e">
        <f>INDEX('Slides+PNGs'!$L:L,MATCH($B75,'Slides+PNGs'!M:M,0))</f>
        <v>#N/A</v>
      </c>
      <c r="H75" s="5" t="s">
        <v>11</v>
      </c>
      <c r="I75" s="6" t="s">
        <v>248</v>
      </c>
      <c r="J75" s="6" t="s">
        <v>107</v>
      </c>
      <c r="M75" s="9" t="s">
        <v>678</v>
      </c>
    </row>
    <row r="76" spans="1:13" s="6" customFormat="1" hidden="1" x14ac:dyDescent="0.3">
      <c r="A76" s="6">
        <v>74</v>
      </c>
      <c r="B76" s="9" t="s">
        <v>258</v>
      </c>
      <c r="C76" s="4" t="b">
        <f>IF(ISERROR(VLOOKUP(B76,'Slides+PNGs'!$M:$M,1,FALSE)),FALSE,TRUE)</f>
        <v>0</v>
      </c>
      <c r="D76" s="5" t="b">
        <v>1</v>
      </c>
      <c r="E76" s="5" t="e">
        <f>INDEX('Slides+PNGs'!$H:H,MATCH($B76,'Slides+PNGs'!M:M,0))</f>
        <v>#N/A</v>
      </c>
      <c r="F76" s="5" t="e">
        <f>INDEX('Slides+PNGs'!$I:I,MATCH($B76,'Slides+PNGs'!M:M,0))</f>
        <v>#N/A</v>
      </c>
      <c r="G76" s="5" t="e">
        <f>INDEX('Slides+PNGs'!$L:L,MATCH($B76,'Slides+PNGs'!M:M,0))</f>
        <v>#N/A</v>
      </c>
      <c r="H76" s="5" t="s">
        <v>11</v>
      </c>
      <c r="I76" s="6" t="s">
        <v>248</v>
      </c>
      <c r="J76" s="6" t="s">
        <v>107</v>
      </c>
      <c r="M76" s="9" t="s">
        <v>678</v>
      </c>
    </row>
    <row r="77" spans="1:13" s="6" customFormat="1" hidden="1" x14ac:dyDescent="0.3">
      <c r="A77" s="5">
        <v>75</v>
      </c>
      <c r="B77" s="9" t="s">
        <v>259</v>
      </c>
      <c r="C77" s="4" t="b">
        <f>IF(ISERROR(VLOOKUP(B77,'Slides+PNGs'!$M:$M,1,FALSE)),FALSE,TRUE)</f>
        <v>0</v>
      </c>
      <c r="D77" s="5" t="b">
        <v>1</v>
      </c>
      <c r="E77" s="5" t="e">
        <f>INDEX('Slides+PNGs'!$H:H,MATCH($B77,'Slides+PNGs'!M:M,0))</f>
        <v>#N/A</v>
      </c>
      <c r="F77" s="5" t="e">
        <f>INDEX('Slides+PNGs'!$I:I,MATCH($B77,'Slides+PNGs'!M:M,0))</f>
        <v>#N/A</v>
      </c>
      <c r="G77" s="5" t="e">
        <f>INDEX('Slides+PNGs'!$L:L,MATCH($B77,'Slides+PNGs'!M:M,0))</f>
        <v>#N/A</v>
      </c>
      <c r="H77" s="5" t="s">
        <v>11</v>
      </c>
      <c r="I77" s="6" t="s">
        <v>248</v>
      </c>
      <c r="J77" s="6" t="s">
        <v>107</v>
      </c>
      <c r="M77" s="9" t="s">
        <v>678</v>
      </c>
    </row>
    <row r="78" spans="1:13" s="6" customFormat="1" hidden="1" x14ac:dyDescent="0.3">
      <c r="A78" s="6">
        <v>76</v>
      </c>
      <c r="B78" s="9" t="s">
        <v>260</v>
      </c>
      <c r="C78" s="4" t="b">
        <f>IF(ISERROR(VLOOKUP(B78,'Slides+PNGs'!$M:$M,1,FALSE)),FALSE,TRUE)</f>
        <v>0</v>
      </c>
      <c r="D78" s="5" t="b">
        <v>1</v>
      </c>
      <c r="E78" s="5" t="e">
        <f>INDEX('Slides+PNGs'!$H:H,MATCH($B78,'Slides+PNGs'!M:M,0))</f>
        <v>#N/A</v>
      </c>
      <c r="F78" s="5" t="e">
        <f>INDEX('Slides+PNGs'!$I:I,MATCH($B78,'Slides+PNGs'!M:M,0))</f>
        <v>#N/A</v>
      </c>
      <c r="G78" s="5" t="e">
        <f>INDEX('Slides+PNGs'!$L:L,MATCH($B78,'Slides+PNGs'!M:M,0))</f>
        <v>#N/A</v>
      </c>
      <c r="H78" s="5" t="s">
        <v>11</v>
      </c>
      <c r="I78" s="6" t="s">
        <v>248</v>
      </c>
      <c r="J78" s="6" t="s">
        <v>107</v>
      </c>
      <c r="M78" s="9" t="s">
        <v>678</v>
      </c>
    </row>
    <row r="79" spans="1:13" s="6" customFormat="1" hidden="1" x14ac:dyDescent="0.3">
      <c r="A79" s="5">
        <v>77</v>
      </c>
      <c r="B79" s="9" t="s">
        <v>261</v>
      </c>
      <c r="C79" s="4" t="b">
        <f>IF(ISERROR(VLOOKUP(B79,'Slides+PNGs'!$M:$M,1,FALSE)),FALSE,TRUE)</f>
        <v>0</v>
      </c>
      <c r="D79" s="5" t="b">
        <v>1</v>
      </c>
      <c r="E79" s="5" t="e">
        <f>INDEX('Slides+PNGs'!$H:H,MATCH($B79,'Slides+PNGs'!M:M,0))</f>
        <v>#N/A</v>
      </c>
      <c r="F79" s="5" t="e">
        <f>INDEX('Slides+PNGs'!$I:I,MATCH($B79,'Slides+PNGs'!M:M,0))</f>
        <v>#N/A</v>
      </c>
      <c r="G79" s="5" t="e">
        <f>INDEX('Slides+PNGs'!$L:L,MATCH($B79,'Slides+PNGs'!M:M,0))</f>
        <v>#N/A</v>
      </c>
      <c r="H79" s="5" t="s">
        <v>11</v>
      </c>
      <c r="I79" s="6" t="s">
        <v>248</v>
      </c>
      <c r="J79" s="6" t="s">
        <v>107</v>
      </c>
      <c r="M79" s="9" t="s">
        <v>678</v>
      </c>
    </row>
    <row r="80" spans="1:13" s="6" customFormat="1" hidden="1" x14ac:dyDescent="0.3">
      <c r="A80" s="6">
        <v>78</v>
      </c>
      <c r="B80" s="9" t="s">
        <v>262</v>
      </c>
      <c r="C80" s="4" t="b">
        <f>IF(ISERROR(VLOOKUP(B80,'Slides+PNGs'!$M:$M,1,FALSE)),FALSE,TRUE)</f>
        <v>0</v>
      </c>
      <c r="D80" s="5" t="b">
        <v>1</v>
      </c>
      <c r="E80" s="5" t="e">
        <f>INDEX('Slides+PNGs'!$H:H,MATCH($B80,'Slides+PNGs'!M:M,0))</f>
        <v>#N/A</v>
      </c>
      <c r="F80" s="5" t="e">
        <f>INDEX('Slides+PNGs'!$I:I,MATCH($B80,'Slides+PNGs'!M:M,0))</f>
        <v>#N/A</v>
      </c>
      <c r="G80" s="5" t="e">
        <f>INDEX('Slides+PNGs'!$L:L,MATCH($B80,'Slides+PNGs'!M:M,0))</f>
        <v>#N/A</v>
      </c>
      <c r="H80" s="5" t="s">
        <v>11</v>
      </c>
      <c r="I80" s="6" t="s">
        <v>248</v>
      </c>
      <c r="J80" s="6" t="s">
        <v>107</v>
      </c>
      <c r="M80" s="9" t="s">
        <v>678</v>
      </c>
    </row>
    <row r="81" spans="1:13" s="6" customFormat="1" hidden="1" x14ac:dyDescent="0.3">
      <c r="A81" s="5">
        <v>79</v>
      </c>
      <c r="B81" s="9" t="s">
        <v>263</v>
      </c>
      <c r="C81" s="4" t="b">
        <f>IF(ISERROR(VLOOKUP(B81,'Slides+PNGs'!$M:$M,1,FALSE)),FALSE,TRUE)</f>
        <v>0</v>
      </c>
      <c r="D81" s="5" t="b">
        <v>1</v>
      </c>
      <c r="E81" s="5" t="e">
        <f>INDEX('Slides+PNGs'!$H:H,MATCH($B81,'Slides+PNGs'!M:M,0))</f>
        <v>#N/A</v>
      </c>
      <c r="F81" s="5" t="e">
        <f>INDEX('Slides+PNGs'!$I:I,MATCH($B81,'Slides+PNGs'!M:M,0))</f>
        <v>#N/A</v>
      </c>
      <c r="G81" s="5" t="e">
        <f>INDEX('Slides+PNGs'!$L:L,MATCH($B81,'Slides+PNGs'!M:M,0))</f>
        <v>#N/A</v>
      </c>
      <c r="H81" s="5" t="s">
        <v>11</v>
      </c>
      <c r="I81" s="6" t="s">
        <v>351</v>
      </c>
      <c r="J81" s="6" t="s">
        <v>107</v>
      </c>
      <c r="M81" s="9" t="s">
        <v>678</v>
      </c>
    </row>
    <row r="82" spans="1:13" s="6" customFormat="1" hidden="1" x14ac:dyDescent="0.3">
      <c r="A82" s="6">
        <v>80</v>
      </c>
      <c r="B82" s="9" t="s">
        <v>264</v>
      </c>
      <c r="C82" s="4" t="b">
        <f>IF(ISERROR(VLOOKUP(B82,'Slides+PNGs'!$M:$M,1,FALSE)),FALSE,TRUE)</f>
        <v>0</v>
      </c>
      <c r="D82" s="5" t="b">
        <v>1</v>
      </c>
      <c r="E82" s="5" t="e">
        <f>INDEX('Slides+PNGs'!$H:H,MATCH($B82,'Slides+PNGs'!M:M,0))</f>
        <v>#N/A</v>
      </c>
      <c r="F82" s="5" t="e">
        <f>INDEX('Slides+PNGs'!$I:I,MATCH($B82,'Slides+PNGs'!M:M,0))</f>
        <v>#N/A</v>
      </c>
      <c r="G82" s="5" t="e">
        <f>INDEX('Slides+PNGs'!$L:L,MATCH($B82,'Slides+PNGs'!M:M,0))</f>
        <v>#N/A</v>
      </c>
      <c r="H82" s="5" t="s">
        <v>11</v>
      </c>
      <c r="I82" s="6" t="s">
        <v>351</v>
      </c>
      <c r="J82" s="6" t="s">
        <v>107</v>
      </c>
      <c r="M82" s="9" t="s">
        <v>678</v>
      </c>
    </row>
    <row r="83" spans="1:13" s="6" customFormat="1" hidden="1" x14ac:dyDescent="0.3">
      <c r="A83" s="5">
        <v>81</v>
      </c>
      <c r="B83" s="9" t="s">
        <v>265</v>
      </c>
      <c r="C83" s="4" t="b">
        <f>IF(ISERROR(VLOOKUP(B83,'Slides+PNGs'!$M:$M,1,FALSE)),FALSE,TRUE)</f>
        <v>0</v>
      </c>
      <c r="D83" s="5" t="b">
        <v>1</v>
      </c>
      <c r="E83" s="5" t="e">
        <f>INDEX('Slides+PNGs'!$H:H,MATCH($B83,'Slides+PNGs'!M:M,0))</f>
        <v>#N/A</v>
      </c>
      <c r="F83" s="5" t="e">
        <f>INDEX('Slides+PNGs'!$I:I,MATCH($B83,'Slides+PNGs'!M:M,0))</f>
        <v>#N/A</v>
      </c>
      <c r="G83" s="5" t="e">
        <f>INDEX('Slides+PNGs'!$L:L,MATCH($B83,'Slides+PNGs'!M:M,0))</f>
        <v>#N/A</v>
      </c>
      <c r="H83" s="5" t="s">
        <v>11</v>
      </c>
      <c r="I83" s="6" t="s">
        <v>351</v>
      </c>
      <c r="J83" s="6" t="s">
        <v>107</v>
      </c>
      <c r="M83" s="9" t="s">
        <v>678</v>
      </c>
    </row>
    <row r="84" spans="1:13" s="6" customFormat="1" hidden="1" x14ac:dyDescent="0.3">
      <c r="A84" s="6">
        <v>82</v>
      </c>
      <c r="B84" s="9" t="s">
        <v>266</v>
      </c>
      <c r="C84" s="4" t="b">
        <f>IF(ISERROR(VLOOKUP(B84,'Slides+PNGs'!$M:$M,1,FALSE)),FALSE,TRUE)</f>
        <v>0</v>
      </c>
      <c r="D84" s="5" t="b">
        <v>1</v>
      </c>
      <c r="E84" s="5" t="e">
        <f>INDEX('Slides+PNGs'!$H:H,MATCH($B84,'Slides+PNGs'!M:M,0))</f>
        <v>#N/A</v>
      </c>
      <c r="F84" s="5" t="e">
        <f>INDEX('Slides+PNGs'!$I:I,MATCH($B84,'Slides+PNGs'!M:M,0))</f>
        <v>#N/A</v>
      </c>
      <c r="G84" s="5" t="e">
        <f>INDEX('Slides+PNGs'!$L:L,MATCH($B84,'Slides+PNGs'!M:M,0))</f>
        <v>#N/A</v>
      </c>
      <c r="H84" s="5" t="s">
        <v>11</v>
      </c>
      <c r="I84" s="6" t="s">
        <v>351</v>
      </c>
      <c r="J84" s="6" t="s">
        <v>107</v>
      </c>
      <c r="M84" s="9" t="s">
        <v>678</v>
      </c>
    </row>
    <row r="85" spans="1:13" s="6" customFormat="1" hidden="1" x14ac:dyDescent="0.3">
      <c r="A85" s="5">
        <v>83</v>
      </c>
      <c r="B85" s="9" t="s">
        <v>267</v>
      </c>
      <c r="C85" s="4" t="b">
        <f>IF(ISERROR(VLOOKUP(B85,'Slides+PNGs'!$M:$M,1,FALSE)),FALSE,TRUE)</f>
        <v>0</v>
      </c>
      <c r="D85" s="5" t="b">
        <v>1</v>
      </c>
      <c r="E85" s="5" t="e">
        <f>INDEX('Slides+PNGs'!$H:H,MATCH($B85,'Slides+PNGs'!M:M,0))</f>
        <v>#N/A</v>
      </c>
      <c r="F85" s="5" t="e">
        <f>INDEX('Slides+PNGs'!$I:I,MATCH($B85,'Slides+PNGs'!M:M,0))</f>
        <v>#N/A</v>
      </c>
      <c r="G85" s="5" t="e">
        <f>INDEX('Slides+PNGs'!$L:L,MATCH($B85,'Slides+PNGs'!M:M,0))</f>
        <v>#N/A</v>
      </c>
      <c r="H85" s="5" t="s">
        <v>11</v>
      </c>
      <c r="I85" s="6" t="s">
        <v>352</v>
      </c>
      <c r="J85" s="6" t="s">
        <v>107</v>
      </c>
      <c r="M85" s="9" t="s">
        <v>678</v>
      </c>
    </row>
    <row r="86" spans="1:13" s="6" customFormat="1" hidden="1" x14ac:dyDescent="0.3">
      <c r="A86" s="6">
        <v>84</v>
      </c>
      <c r="B86" s="9" t="s">
        <v>268</v>
      </c>
      <c r="C86" s="4" t="b">
        <f>IF(ISERROR(VLOOKUP(B86,'Slides+PNGs'!$M:$M,1,FALSE)),FALSE,TRUE)</f>
        <v>0</v>
      </c>
      <c r="D86" s="5" t="b">
        <v>1</v>
      </c>
      <c r="E86" s="5" t="e">
        <f>INDEX('Slides+PNGs'!$H:H,MATCH($B86,'Slides+PNGs'!M:M,0))</f>
        <v>#N/A</v>
      </c>
      <c r="F86" s="5" t="e">
        <f>INDEX('Slides+PNGs'!$I:I,MATCH($B86,'Slides+PNGs'!M:M,0))</f>
        <v>#N/A</v>
      </c>
      <c r="G86" s="5" t="e">
        <f>INDEX('Slides+PNGs'!$L:L,MATCH($B86,'Slides+PNGs'!M:M,0))</f>
        <v>#N/A</v>
      </c>
      <c r="H86" s="5" t="s">
        <v>11</v>
      </c>
      <c r="I86" s="6" t="s">
        <v>352</v>
      </c>
      <c r="J86" s="6" t="s">
        <v>107</v>
      </c>
      <c r="M86" s="9" t="s">
        <v>678</v>
      </c>
    </row>
    <row r="87" spans="1:13" s="6" customFormat="1" hidden="1" x14ac:dyDescent="0.3">
      <c r="A87" s="5">
        <v>85</v>
      </c>
      <c r="B87" s="9" t="s">
        <v>269</v>
      </c>
      <c r="C87" s="4" t="b">
        <f>IF(ISERROR(VLOOKUP(B87,'Slides+PNGs'!$M:$M,1,FALSE)),FALSE,TRUE)</f>
        <v>0</v>
      </c>
      <c r="D87" s="5" t="b">
        <v>1</v>
      </c>
      <c r="E87" s="5" t="e">
        <f>INDEX('Slides+PNGs'!$H:H,MATCH($B87,'Slides+PNGs'!M:M,0))</f>
        <v>#N/A</v>
      </c>
      <c r="F87" s="5" t="e">
        <f>INDEX('Slides+PNGs'!$I:I,MATCH($B87,'Slides+PNGs'!M:M,0))</f>
        <v>#N/A</v>
      </c>
      <c r="G87" s="5" t="e">
        <f>INDEX('Slides+PNGs'!$L:L,MATCH($B87,'Slides+PNGs'!M:M,0))</f>
        <v>#N/A</v>
      </c>
      <c r="H87" s="5" t="s">
        <v>11</v>
      </c>
      <c r="I87" s="6" t="s">
        <v>352</v>
      </c>
      <c r="J87" s="6" t="s">
        <v>107</v>
      </c>
      <c r="M87" s="9" t="s">
        <v>678</v>
      </c>
    </row>
    <row r="88" spans="1:13" s="6" customFormat="1" hidden="1" x14ac:dyDescent="0.3">
      <c r="A88" s="6">
        <v>86</v>
      </c>
      <c r="B88" s="9" t="s">
        <v>270</v>
      </c>
      <c r="C88" s="4" t="b">
        <f>IF(ISERROR(VLOOKUP(B88,'Slides+PNGs'!$M:$M,1,FALSE)),FALSE,TRUE)</f>
        <v>0</v>
      </c>
      <c r="D88" s="5" t="b">
        <v>1</v>
      </c>
      <c r="E88" s="5" t="e">
        <f>INDEX('Slides+PNGs'!$H:H,MATCH($B88,'Slides+PNGs'!M:M,0))</f>
        <v>#N/A</v>
      </c>
      <c r="F88" s="5" t="e">
        <f>INDEX('Slides+PNGs'!$I:I,MATCH($B88,'Slides+PNGs'!M:M,0))</f>
        <v>#N/A</v>
      </c>
      <c r="G88" s="5" t="e">
        <f>INDEX('Slides+PNGs'!$L:L,MATCH($B88,'Slides+PNGs'!M:M,0))</f>
        <v>#N/A</v>
      </c>
      <c r="H88" s="5" t="s">
        <v>11</v>
      </c>
      <c r="I88" s="6" t="s">
        <v>352</v>
      </c>
      <c r="J88" s="6" t="s">
        <v>107</v>
      </c>
      <c r="M88" s="9" t="s">
        <v>678</v>
      </c>
    </row>
    <row r="89" spans="1:13" s="6" customFormat="1" ht="28.8" hidden="1" x14ac:dyDescent="0.3">
      <c r="A89" s="5">
        <v>87</v>
      </c>
      <c r="B89" s="9" t="s">
        <v>271</v>
      </c>
      <c r="C89" s="4" t="b">
        <f>IF(ISERROR(VLOOKUP(B89,'Slides+PNGs'!$M:$M,1,FALSE)),FALSE,TRUE)</f>
        <v>0</v>
      </c>
      <c r="D89" s="5" t="b">
        <v>1</v>
      </c>
      <c r="E89" s="5" t="e">
        <f>INDEX('Slides+PNGs'!$H:H,MATCH($B89,'Slides+PNGs'!M:M,0))</f>
        <v>#N/A</v>
      </c>
      <c r="F89" s="5" t="e">
        <f>INDEX('Slides+PNGs'!$I:I,MATCH($B89,'Slides+PNGs'!M:M,0))</f>
        <v>#N/A</v>
      </c>
      <c r="G89" s="5" t="e">
        <f>INDEX('Slides+PNGs'!$L:L,MATCH($B89,'Slides+PNGs'!M:M,0))</f>
        <v>#N/A</v>
      </c>
      <c r="H89" s="5" t="s">
        <v>11</v>
      </c>
      <c r="I89" s="6" t="s">
        <v>353</v>
      </c>
      <c r="J89" s="6" t="s">
        <v>107</v>
      </c>
      <c r="M89" s="9" t="s">
        <v>678</v>
      </c>
    </row>
    <row r="90" spans="1:13" s="6" customFormat="1" ht="28.8" hidden="1" x14ac:dyDescent="0.3">
      <c r="A90" s="6">
        <v>88</v>
      </c>
      <c r="B90" s="9" t="s">
        <v>272</v>
      </c>
      <c r="C90" s="4" t="b">
        <f>IF(ISERROR(VLOOKUP(B90,'Slides+PNGs'!$M:$M,1,FALSE)),FALSE,TRUE)</f>
        <v>0</v>
      </c>
      <c r="D90" s="5" t="b">
        <v>1</v>
      </c>
      <c r="E90" s="5" t="e">
        <f>INDEX('Slides+PNGs'!$H:H,MATCH($B90,'Slides+PNGs'!M:M,0))</f>
        <v>#N/A</v>
      </c>
      <c r="F90" s="5" t="e">
        <f>INDEX('Slides+PNGs'!$I:I,MATCH($B90,'Slides+PNGs'!M:M,0))</f>
        <v>#N/A</v>
      </c>
      <c r="G90" s="5" t="e">
        <f>INDEX('Slides+PNGs'!$L:L,MATCH($B90,'Slides+PNGs'!M:M,0))</f>
        <v>#N/A</v>
      </c>
      <c r="H90" s="5" t="s">
        <v>11</v>
      </c>
      <c r="I90" s="6" t="s">
        <v>353</v>
      </c>
      <c r="J90" s="6" t="s">
        <v>107</v>
      </c>
      <c r="M90" s="9" t="s">
        <v>678</v>
      </c>
    </row>
    <row r="91" spans="1:13" s="6" customFormat="1" hidden="1" x14ac:dyDescent="0.3">
      <c r="A91" s="5">
        <v>89</v>
      </c>
      <c r="B91" s="9" t="s">
        <v>273</v>
      </c>
      <c r="C91" s="4" t="b">
        <f>IF(ISERROR(VLOOKUP(B91,'Slides+PNGs'!$M:$M,1,FALSE)),FALSE,TRUE)</f>
        <v>0</v>
      </c>
      <c r="D91" s="5" t="b">
        <v>1</v>
      </c>
      <c r="E91" s="5" t="e">
        <f>INDEX('Slides+PNGs'!$H:H,MATCH($B91,'Slides+PNGs'!M:M,0))</f>
        <v>#N/A</v>
      </c>
      <c r="F91" s="5" t="e">
        <f>INDEX('Slides+PNGs'!$I:I,MATCH($B91,'Slides+PNGs'!M:M,0))</f>
        <v>#N/A</v>
      </c>
      <c r="G91" s="5" t="e">
        <f>INDEX('Slides+PNGs'!$L:L,MATCH($B91,'Slides+PNGs'!M:M,0))</f>
        <v>#N/A</v>
      </c>
      <c r="H91" s="5" t="s">
        <v>11</v>
      </c>
      <c r="I91" s="6" t="s">
        <v>353</v>
      </c>
      <c r="J91" s="6" t="s">
        <v>107</v>
      </c>
      <c r="M91" s="9" t="s">
        <v>678</v>
      </c>
    </row>
    <row r="92" spans="1:13" s="6" customFormat="1" hidden="1" x14ac:dyDescent="0.3">
      <c r="A92" s="6">
        <v>90</v>
      </c>
      <c r="B92" s="9" t="s">
        <v>274</v>
      </c>
      <c r="C92" s="4" t="b">
        <f>IF(ISERROR(VLOOKUP(B92,'Slides+PNGs'!$M:$M,1,FALSE)),FALSE,TRUE)</f>
        <v>0</v>
      </c>
      <c r="D92" s="5" t="b">
        <v>1</v>
      </c>
      <c r="E92" s="5" t="e">
        <f>INDEX('Slides+PNGs'!$H:H,MATCH($B92,'Slides+PNGs'!M:M,0))</f>
        <v>#N/A</v>
      </c>
      <c r="F92" s="5" t="e">
        <f>INDEX('Slides+PNGs'!$I:I,MATCH($B92,'Slides+PNGs'!M:M,0))</f>
        <v>#N/A</v>
      </c>
      <c r="G92" s="5" t="e">
        <f>INDEX('Slides+PNGs'!$L:L,MATCH($B92,'Slides+PNGs'!M:M,0))</f>
        <v>#N/A</v>
      </c>
      <c r="H92" s="5" t="s">
        <v>11</v>
      </c>
      <c r="I92" s="6" t="s">
        <v>353</v>
      </c>
      <c r="J92" s="6" t="s">
        <v>107</v>
      </c>
      <c r="M92" s="9" t="s">
        <v>678</v>
      </c>
    </row>
    <row r="93" spans="1:13" s="6" customFormat="1" hidden="1" x14ac:dyDescent="0.3">
      <c r="A93" s="5">
        <v>91</v>
      </c>
      <c r="B93" s="9" t="s">
        <v>275</v>
      </c>
      <c r="C93" s="4" t="b">
        <f>IF(ISERROR(VLOOKUP(B93,'Slides+PNGs'!$M:$M,1,FALSE)),FALSE,TRUE)</f>
        <v>0</v>
      </c>
      <c r="D93" s="5" t="b">
        <v>1</v>
      </c>
      <c r="E93" s="5" t="e">
        <f>INDEX('Slides+PNGs'!$H:H,MATCH($B93,'Slides+PNGs'!M:M,0))</f>
        <v>#N/A</v>
      </c>
      <c r="F93" s="5" t="e">
        <f>INDEX('Slides+PNGs'!$I:I,MATCH($B93,'Slides+PNGs'!M:M,0))</f>
        <v>#N/A</v>
      </c>
      <c r="G93" s="5" t="e">
        <f>INDEX('Slides+PNGs'!$L:L,MATCH($B93,'Slides+PNGs'!M:M,0))</f>
        <v>#N/A</v>
      </c>
      <c r="H93" s="5" t="s">
        <v>11</v>
      </c>
      <c r="I93" s="6" t="s">
        <v>354</v>
      </c>
      <c r="J93" s="6" t="s">
        <v>107</v>
      </c>
      <c r="M93" s="9" t="s">
        <v>678</v>
      </c>
    </row>
    <row r="94" spans="1:13" s="6" customFormat="1" hidden="1" x14ac:dyDescent="0.3">
      <c r="A94" s="6">
        <v>92</v>
      </c>
      <c r="B94" s="9" t="s">
        <v>276</v>
      </c>
      <c r="C94" s="4" t="b">
        <f>IF(ISERROR(VLOOKUP(B94,'Slides+PNGs'!$M:$M,1,FALSE)),FALSE,TRUE)</f>
        <v>0</v>
      </c>
      <c r="D94" s="5" t="b">
        <v>1</v>
      </c>
      <c r="E94" s="5" t="e">
        <f>INDEX('Slides+PNGs'!$H:H,MATCH($B94,'Slides+PNGs'!M:M,0))</f>
        <v>#N/A</v>
      </c>
      <c r="F94" s="5" t="e">
        <f>INDEX('Slides+PNGs'!$I:I,MATCH($B94,'Slides+PNGs'!M:M,0))</f>
        <v>#N/A</v>
      </c>
      <c r="G94" s="5" t="e">
        <f>INDEX('Slides+PNGs'!$L:L,MATCH($B94,'Slides+PNGs'!M:M,0))</f>
        <v>#N/A</v>
      </c>
      <c r="H94" s="5" t="s">
        <v>11</v>
      </c>
      <c r="I94" s="6" t="s">
        <v>354</v>
      </c>
      <c r="J94" s="6" t="s">
        <v>107</v>
      </c>
      <c r="M94" s="9" t="s">
        <v>678</v>
      </c>
    </row>
    <row r="95" spans="1:13" s="6" customFormat="1" hidden="1" x14ac:dyDescent="0.3">
      <c r="A95" s="5">
        <v>93</v>
      </c>
      <c r="B95" s="9" t="s">
        <v>277</v>
      </c>
      <c r="C95" s="4" t="b">
        <f>IF(ISERROR(VLOOKUP(B95,'Slides+PNGs'!$M:$M,1,FALSE)),FALSE,TRUE)</f>
        <v>0</v>
      </c>
      <c r="D95" s="5" t="b">
        <v>1</v>
      </c>
      <c r="E95" s="5" t="e">
        <f>INDEX('Slides+PNGs'!$H:H,MATCH($B95,'Slides+PNGs'!M:M,0))</f>
        <v>#N/A</v>
      </c>
      <c r="F95" s="5" t="e">
        <f>INDEX('Slides+PNGs'!$I:I,MATCH($B95,'Slides+PNGs'!M:M,0))</f>
        <v>#N/A</v>
      </c>
      <c r="G95" s="5" t="e">
        <f>INDEX('Slides+PNGs'!$L:L,MATCH($B95,'Slides+PNGs'!M:M,0))</f>
        <v>#N/A</v>
      </c>
      <c r="H95" s="5" t="s">
        <v>11</v>
      </c>
      <c r="I95" s="6" t="s">
        <v>354</v>
      </c>
      <c r="J95" s="6" t="s">
        <v>107</v>
      </c>
      <c r="M95" s="9" t="s">
        <v>678</v>
      </c>
    </row>
    <row r="96" spans="1:13" s="6" customFormat="1" hidden="1" x14ac:dyDescent="0.3">
      <c r="A96" s="6">
        <v>94</v>
      </c>
      <c r="B96" s="9" t="s">
        <v>278</v>
      </c>
      <c r="C96" s="4" t="b">
        <f>IF(ISERROR(VLOOKUP(B96,'Slides+PNGs'!$M:$M,1,FALSE)),FALSE,TRUE)</f>
        <v>0</v>
      </c>
      <c r="D96" s="5" t="b">
        <v>1</v>
      </c>
      <c r="E96" s="5" t="e">
        <f>INDEX('Slides+PNGs'!$H:H,MATCH($B96,'Slides+PNGs'!M:M,0))</f>
        <v>#N/A</v>
      </c>
      <c r="F96" s="5" t="e">
        <f>INDEX('Slides+PNGs'!$I:I,MATCH($B96,'Slides+PNGs'!M:M,0))</f>
        <v>#N/A</v>
      </c>
      <c r="G96" s="5" t="e">
        <f>INDEX('Slides+PNGs'!$L:L,MATCH($B96,'Slides+PNGs'!M:M,0))</f>
        <v>#N/A</v>
      </c>
      <c r="H96" s="5" t="s">
        <v>11</v>
      </c>
      <c r="I96" s="6" t="s">
        <v>354</v>
      </c>
      <c r="J96" s="6" t="s">
        <v>107</v>
      </c>
      <c r="M96" s="9" t="s">
        <v>678</v>
      </c>
    </row>
    <row r="97" spans="1:13" s="6" customFormat="1" hidden="1" x14ac:dyDescent="0.3">
      <c r="A97" s="5">
        <v>95</v>
      </c>
      <c r="B97" s="9" t="s">
        <v>284</v>
      </c>
      <c r="C97" s="4" t="b">
        <f>IF(ISERROR(VLOOKUP(B97,'Slides+PNGs'!$M:$M,1,FALSE)),FALSE,TRUE)</f>
        <v>0</v>
      </c>
      <c r="D97" s="5" t="b">
        <v>1</v>
      </c>
      <c r="E97" s="5" t="e">
        <f>INDEX('Slides+PNGs'!$H:H,MATCH($B97,'Slides+PNGs'!M:M,0))</f>
        <v>#N/A</v>
      </c>
      <c r="F97" s="5" t="e">
        <f>INDEX('Slides+PNGs'!$I:I,MATCH($B97,'Slides+PNGs'!M:M,0))</f>
        <v>#N/A</v>
      </c>
      <c r="G97" s="5" t="e">
        <f>INDEX('Slides+PNGs'!$L:L,MATCH($B97,'Slides+PNGs'!M:M,0))</f>
        <v>#N/A</v>
      </c>
      <c r="H97" s="5" t="s">
        <v>11</v>
      </c>
      <c r="I97" s="6" t="s">
        <v>355</v>
      </c>
      <c r="J97" s="6" t="s">
        <v>115</v>
      </c>
      <c r="M97" s="9" t="s">
        <v>678</v>
      </c>
    </row>
    <row r="98" spans="1:13" s="6" customFormat="1" hidden="1" x14ac:dyDescent="0.3">
      <c r="A98" s="6">
        <v>96</v>
      </c>
      <c r="B98" s="5" t="s">
        <v>285</v>
      </c>
      <c r="C98" s="6" t="b">
        <f>IF(ISERROR(VLOOKUP(B98,'Slides+PNGs'!$M:$M,1,FALSE)),FALSE,TRUE)</f>
        <v>1</v>
      </c>
      <c r="D98" s="5" t="b">
        <v>1</v>
      </c>
      <c r="E98" s="5" t="str">
        <f>INDEX('Slides+PNGs'!$H:H,MATCH($B98,'Slides+PNGs'!M:M,0))</f>
        <v>N/A</v>
      </c>
      <c r="F98" s="5" t="str">
        <f>INDEX('Slides+PNGs'!$I:I,MATCH($B98,'Slides+PNGs'!M:M,0))</f>
        <v>N/A</v>
      </c>
      <c r="G98" s="5">
        <f>INDEX('Slides+PNGs'!$L:L,MATCH($B98,'Slides+PNGs'!M:M,0))</f>
        <v>0</v>
      </c>
      <c r="H98" s="5" t="s">
        <v>11</v>
      </c>
      <c r="I98" s="6" t="s">
        <v>355</v>
      </c>
      <c r="J98" s="6" t="s">
        <v>115</v>
      </c>
    </row>
    <row r="99" spans="1:13" s="6" customFormat="1" hidden="1" x14ac:dyDescent="0.3">
      <c r="A99" s="5">
        <v>97</v>
      </c>
      <c r="B99" s="5" t="s">
        <v>286</v>
      </c>
      <c r="C99" s="6" t="b">
        <f>IF(ISERROR(VLOOKUP(B99,'Slides+PNGs'!$M:$M,1,FALSE)),FALSE,TRUE)</f>
        <v>1</v>
      </c>
      <c r="D99" s="5" t="b">
        <v>1</v>
      </c>
      <c r="E99" s="5" t="str">
        <f>INDEX('Slides+PNGs'!$H:H,MATCH($B99,'Slides+PNGs'!M:M,0))</f>
        <v>N/A</v>
      </c>
      <c r="F99" s="5" t="str">
        <f>INDEX('Slides+PNGs'!$I:I,MATCH($B99,'Slides+PNGs'!M:M,0))</f>
        <v>N/A</v>
      </c>
      <c r="G99" s="5">
        <f>INDEX('Slides+PNGs'!$L:L,MATCH($B99,'Slides+PNGs'!M:M,0))</f>
        <v>0</v>
      </c>
      <c r="H99" s="5" t="s">
        <v>11</v>
      </c>
      <c r="I99" s="6" t="s">
        <v>355</v>
      </c>
      <c r="J99" s="6" t="s">
        <v>115</v>
      </c>
    </row>
    <row r="100" spans="1:13" s="6" customFormat="1" hidden="1" x14ac:dyDescent="0.3">
      <c r="A100" s="6">
        <v>98</v>
      </c>
      <c r="B100" s="5" t="s">
        <v>287</v>
      </c>
      <c r="C100" s="6" t="b">
        <f>IF(ISERROR(VLOOKUP(B100,'Slides+PNGs'!$M:$M,1,FALSE)),FALSE,TRUE)</f>
        <v>1</v>
      </c>
      <c r="D100" s="5" t="b">
        <v>1</v>
      </c>
      <c r="E100" s="5" t="str">
        <f>INDEX('Slides+PNGs'!$H:H,MATCH($B100,'Slides+PNGs'!M:M,0))</f>
        <v>N/A</v>
      </c>
      <c r="F100" s="5" t="str">
        <f>INDEX('Slides+PNGs'!$I:I,MATCH($B100,'Slides+PNGs'!M:M,0))</f>
        <v>N/A</v>
      </c>
      <c r="G100" s="5">
        <f>INDEX('Slides+PNGs'!$L:L,MATCH($B100,'Slides+PNGs'!M:M,0))</f>
        <v>0</v>
      </c>
      <c r="H100" s="5" t="s">
        <v>11</v>
      </c>
      <c r="I100" s="6" t="s">
        <v>355</v>
      </c>
      <c r="J100" s="6" t="s">
        <v>115</v>
      </c>
    </row>
    <row r="101" spans="1:13" s="6" customFormat="1" ht="43.2" hidden="1" x14ac:dyDescent="0.3">
      <c r="A101" s="5">
        <v>99</v>
      </c>
      <c r="B101" s="9" t="s">
        <v>288</v>
      </c>
      <c r="C101" s="4" t="b">
        <f>IF(ISERROR(VLOOKUP(B101,'Slides+PNGs'!$M:$M,1,FALSE)),FALSE,TRUE)</f>
        <v>0</v>
      </c>
      <c r="D101" s="5" t="b">
        <v>1</v>
      </c>
      <c r="E101" s="5" t="e">
        <f>INDEX('Slides+PNGs'!$H:H,MATCH($B101,'Slides+PNGs'!M:M,0))</f>
        <v>#N/A</v>
      </c>
      <c r="F101" s="5" t="e">
        <f>INDEX('Slides+PNGs'!$I:I,MATCH($B101,'Slides+PNGs'!M:M,0))</f>
        <v>#N/A</v>
      </c>
      <c r="G101" s="5" t="e">
        <f>INDEX('Slides+PNGs'!$L:L,MATCH($B101,'Slides+PNGs'!M:M,0))</f>
        <v>#N/A</v>
      </c>
      <c r="H101" s="5" t="s">
        <v>11</v>
      </c>
      <c r="I101" s="6" t="s">
        <v>356</v>
      </c>
      <c r="J101" s="6" t="s">
        <v>119</v>
      </c>
      <c r="K101" s="4" t="s">
        <v>131</v>
      </c>
      <c r="M101" s="9" t="s">
        <v>679</v>
      </c>
    </row>
    <row r="102" spans="1:13" s="6" customFormat="1" hidden="1" x14ac:dyDescent="0.3">
      <c r="A102" s="6">
        <v>100</v>
      </c>
      <c r="B102" s="11" t="s">
        <v>289</v>
      </c>
      <c r="C102" s="10" t="b">
        <f>IF(ISERROR(VLOOKUP(B102,'Slides+PNGs'!$M:$M,1,FALSE)),FALSE,TRUE)</f>
        <v>1</v>
      </c>
      <c r="D102" s="5" t="b">
        <v>1</v>
      </c>
      <c r="E102" s="5" t="str">
        <f>INDEX('Slides+PNGs'!$H:H,MATCH($B102,'Slides+PNGs'!M:M,0))</f>
        <v>N/A</v>
      </c>
      <c r="F102" s="5" t="str">
        <f>INDEX('Slides+PNGs'!$I:I,MATCH($B102,'Slides+PNGs'!M:M,0))</f>
        <v>N/A</v>
      </c>
      <c r="G102" s="5" t="b">
        <f>INDEX('Slides+PNGs'!$L:L,MATCH($B102,'Slides+PNGs'!M:M,0))</f>
        <v>0</v>
      </c>
      <c r="H102" s="5" t="s">
        <v>11</v>
      </c>
      <c r="I102" s="6" t="s">
        <v>356</v>
      </c>
      <c r="J102" s="6" t="s">
        <v>119</v>
      </c>
      <c r="K102" s="4" t="s">
        <v>131</v>
      </c>
      <c r="M102" s="4" t="s">
        <v>677</v>
      </c>
    </row>
    <row r="103" spans="1:13" s="6" customFormat="1" ht="43.2" hidden="1" x14ac:dyDescent="0.3">
      <c r="A103" s="5">
        <v>101</v>
      </c>
      <c r="B103" s="9" t="s">
        <v>290</v>
      </c>
      <c r="C103" s="4" t="b">
        <f>IF(ISERROR(VLOOKUP(B103,'Slides+PNGs'!$M:$M,1,FALSE)),FALSE,TRUE)</f>
        <v>0</v>
      </c>
      <c r="D103" s="5" t="b">
        <v>1</v>
      </c>
      <c r="E103" s="5" t="e">
        <f>INDEX('Slides+PNGs'!$H:H,MATCH($B103,'Slides+PNGs'!M:M,0))</f>
        <v>#N/A</v>
      </c>
      <c r="F103" s="5" t="e">
        <f>INDEX('Slides+PNGs'!$I:I,MATCH($B103,'Slides+PNGs'!M:M,0))</f>
        <v>#N/A</v>
      </c>
      <c r="G103" s="5" t="e">
        <f>INDEX('Slides+PNGs'!$L:L,MATCH($B103,'Slides+PNGs'!M:M,0))</f>
        <v>#N/A</v>
      </c>
      <c r="H103" s="5" t="s">
        <v>11</v>
      </c>
      <c r="I103" s="6" t="s">
        <v>356</v>
      </c>
      <c r="J103" s="6" t="s">
        <v>119</v>
      </c>
      <c r="K103" s="4" t="s">
        <v>131</v>
      </c>
      <c r="M103" s="9" t="s">
        <v>679</v>
      </c>
    </row>
    <row r="104" spans="1:13" s="6" customFormat="1" ht="115.2" hidden="1" x14ac:dyDescent="0.3">
      <c r="A104" s="6">
        <v>102</v>
      </c>
      <c r="B104" s="9" t="s">
        <v>291</v>
      </c>
      <c r="C104" s="4" t="b">
        <f>IF(ISERROR(VLOOKUP(B104,'Slides+PNGs'!$M:$M,1,FALSE)),FALSE,TRUE)</f>
        <v>0</v>
      </c>
      <c r="D104" s="5" t="b">
        <v>1</v>
      </c>
      <c r="E104" s="5" t="e">
        <f>INDEX('Slides+PNGs'!$H:H,MATCH($B104,'Slides+PNGs'!M:M,0))</f>
        <v>#N/A</v>
      </c>
      <c r="F104" s="5" t="e">
        <f>INDEX('Slides+PNGs'!$I:I,MATCH($B104,'Slides+PNGs'!M:M,0))</f>
        <v>#N/A</v>
      </c>
      <c r="G104" s="5" t="e">
        <f>INDEX('Slides+PNGs'!$L:L,MATCH($B104,'Slides+PNGs'!M:M,0))</f>
        <v>#N/A</v>
      </c>
      <c r="H104" s="5" t="s">
        <v>11</v>
      </c>
      <c r="I104" s="6" t="s">
        <v>356</v>
      </c>
      <c r="J104" s="6" t="s">
        <v>119</v>
      </c>
      <c r="K104" s="4" t="s">
        <v>131</v>
      </c>
      <c r="M104" s="9" t="s">
        <v>681</v>
      </c>
    </row>
    <row r="105" spans="1:13" s="6" customFormat="1" hidden="1" x14ac:dyDescent="0.3">
      <c r="A105" s="5">
        <v>103</v>
      </c>
      <c r="B105" s="5" t="s">
        <v>122</v>
      </c>
      <c r="C105" s="6" t="b">
        <f>IF(ISERROR(VLOOKUP(B105,'Slides+PNGs'!$M:$M,1,FALSE)),FALSE,TRUE)</f>
        <v>1</v>
      </c>
      <c r="D105" s="5" t="b">
        <v>1</v>
      </c>
      <c r="E105" s="5" t="str">
        <f>INDEX('Slides+PNGs'!$H:H,MATCH($B105,'Slides+PNGs'!M:M,0))</f>
        <v>N/A</v>
      </c>
      <c r="F105" s="5" t="str">
        <f>INDEX('Slides+PNGs'!$I:I,MATCH($B105,'Slides+PNGs'!M:M,0))</f>
        <v>N/A</v>
      </c>
      <c r="G105" s="5">
        <f>INDEX('Slides+PNGs'!$L:L,MATCH($B105,'Slides+PNGs'!M:M,0))</f>
        <v>0</v>
      </c>
      <c r="H105" s="5" t="s">
        <v>11</v>
      </c>
      <c r="I105" s="6" t="s">
        <v>357</v>
      </c>
      <c r="J105" s="6" t="s">
        <v>362</v>
      </c>
      <c r="K105" s="6" t="s">
        <v>95</v>
      </c>
    </row>
    <row r="106" spans="1:13" s="6" customFormat="1" hidden="1" x14ac:dyDescent="0.3">
      <c r="A106" s="6">
        <v>104</v>
      </c>
      <c r="B106" s="9" t="s">
        <v>123</v>
      </c>
      <c r="C106" s="4" t="b">
        <f>IF(ISERROR(VLOOKUP(B106,'Slides+PNGs'!$M:$M,1,FALSE)),FALSE,TRUE)</f>
        <v>0</v>
      </c>
      <c r="D106" s="5" t="b">
        <v>1</v>
      </c>
      <c r="E106" s="5" t="e">
        <f>INDEX('Slides+PNGs'!$H:H,MATCH($B106,'Slides+PNGs'!M:M,0))</f>
        <v>#N/A</v>
      </c>
      <c r="F106" s="5" t="e">
        <f>INDEX('Slides+PNGs'!$I:I,MATCH($B106,'Slides+PNGs'!M:M,0))</f>
        <v>#N/A</v>
      </c>
      <c r="G106" s="5" t="e">
        <f>INDEX('Slides+PNGs'!$L:L,MATCH($B106,'Slides+PNGs'!M:M,0))</f>
        <v>#N/A</v>
      </c>
      <c r="H106" s="5" t="s">
        <v>11</v>
      </c>
      <c r="I106" s="6" t="s">
        <v>357</v>
      </c>
      <c r="J106" s="6" t="s">
        <v>362</v>
      </c>
      <c r="K106" s="6" t="s">
        <v>95</v>
      </c>
      <c r="M106" s="9" t="s">
        <v>678</v>
      </c>
    </row>
    <row r="107" spans="1:13" s="6" customFormat="1" hidden="1" x14ac:dyDescent="0.3">
      <c r="A107" s="5">
        <v>105</v>
      </c>
      <c r="B107" s="5" t="s">
        <v>127</v>
      </c>
      <c r="C107" s="6" t="b">
        <f>IF(ISERROR(VLOOKUP(B107,'Slides+PNGs'!$M:$M,1,FALSE)),FALSE,TRUE)</f>
        <v>1</v>
      </c>
      <c r="D107" s="5" t="b">
        <v>1</v>
      </c>
      <c r="E107" s="5" t="str">
        <f>INDEX('Slides+PNGs'!$H:H,MATCH($B107,'Slides+PNGs'!M:M,0))</f>
        <v>N/A</v>
      </c>
      <c r="F107" s="5" t="str">
        <f>INDEX('Slides+PNGs'!$I:I,MATCH($B107,'Slides+PNGs'!M:M,0))</f>
        <v>N/A</v>
      </c>
      <c r="G107" s="5">
        <f>INDEX('Slides+PNGs'!$L:L,MATCH($B107,'Slides+PNGs'!M:M,0))</f>
        <v>0</v>
      </c>
      <c r="H107" s="5" t="s">
        <v>11</v>
      </c>
      <c r="I107" s="6" t="s">
        <v>357</v>
      </c>
      <c r="J107" s="6" t="s">
        <v>362</v>
      </c>
      <c r="K107" s="6" t="s">
        <v>95</v>
      </c>
    </row>
    <row r="108" spans="1:13" s="6" customFormat="1" hidden="1" x14ac:dyDescent="0.3">
      <c r="A108" s="6">
        <v>106</v>
      </c>
      <c r="B108" s="9" t="s">
        <v>124</v>
      </c>
      <c r="C108" s="4" t="b">
        <f>IF(ISERROR(VLOOKUP(B108,'Slides+PNGs'!$M:$M,1,FALSE)),FALSE,TRUE)</f>
        <v>0</v>
      </c>
      <c r="D108" s="5" t="b">
        <v>1</v>
      </c>
      <c r="E108" s="5" t="e">
        <f>INDEX('Slides+PNGs'!$H:H,MATCH($B108,'Slides+PNGs'!M:M,0))</f>
        <v>#N/A</v>
      </c>
      <c r="F108" s="5" t="e">
        <f>INDEX('Slides+PNGs'!$I:I,MATCH($B108,'Slides+PNGs'!M:M,0))</f>
        <v>#N/A</v>
      </c>
      <c r="G108" s="5" t="e">
        <f>INDEX('Slides+PNGs'!$L:L,MATCH($B108,'Slides+PNGs'!M:M,0))</f>
        <v>#N/A</v>
      </c>
      <c r="H108" s="5" t="s">
        <v>11</v>
      </c>
      <c r="I108" s="6" t="s">
        <v>357</v>
      </c>
      <c r="J108" s="6" t="s">
        <v>362</v>
      </c>
      <c r="K108" s="6" t="s">
        <v>95</v>
      </c>
      <c r="M108" s="9" t="s">
        <v>678</v>
      </c>
    </row>
    <row r="109" spans="1:13" s="6" customFormat="1" hidden="1" x14ac:dyDescent="0.3">
      <c r="A109" s="5">
        <v>107</v>
      </c>
      <c r="B109" s="5" t="s">
        <v>128</v>
      </c>
      <c r="C109" s="6" t="b">
        <f>IF(ISERROR(VLOOKUP(B109,'Slides+PNGs'!$M:$M,1,FALSE)),FALSE,TRUE)</f>
        <v>1</v>
      </c>
      <c r="D109" s="5" t="b">
        <v>1</v>
      </c>
      <c r="E109" s="5" t="str">
        <f>INDEX('Slides+PNGs'!$H:H,MATCH($B109,'Slides+PNGs'!M:M,0))</f>
        <v>N/A</v>
      </c>
      <c r="F109" s="5" t="str">
        <f>INDEX('Slides+PNGs'!$I:I,MATCH($B109,'Slides+PNGs'!M:M,0))</f>
        <v>N/A</v>
      </c>
      <c r="G109" s="5">
        <f>INDEX('Slides+PNGs'!$L:L,MATCH($B109,'Slides+PNGs'!M:M,0))</f>
        <v>0</v>
      </c>
      <c r="H109" s="5" t="s">
        <v>11</v>
      </c>
      <c r="I109" s="6" t="s">
        <v>357</v>
      </c>
      <c r="J109" s="6" t="s">
        <v>362</v>
      </c>
      <c r="K109" s="6" t="s">
        <v>95</v>
      </c>
    </row>
    <row r="110" spans="1:13" s="6" customFormat="1" hidden="1" x14ac:dyDescent="0.3">
      <c r="A110" s="6">
        <v>108</v>
      </c>
      <c r="B110" s="9" t="s">
        <v>125</v>
      </c>
      <c r="C110" s="4" t="b">
        <f>IF(ISERROR(VLOOKUP(B110,'Slides+PNGs'!$M:$M,1,FALSE)),FALSE,TRUE)</f>
        <v>0</v>
      </c>
      <c r="D110" s="5" t="b">
        <v>1</v>
      </c>
      <c r="E110" s="5" t="e">
        <f>INDEX('Slides+PNGs'!$H:H,MATCH($B110,'Slides+PNGs'!M:M,0))</f>
        <v>#N/A</v>
      </c>
      <c r="F110" s="5" t="e">
        <f>INDEX('Slides+PNGs'!$I:I,MATCH($B110,'Slides+PNGs'!M:M,0))</f>
        <v>#N/A</v>
      </c>
      <c r="G110" s="5" t="e">
        <f>INDEX('Slides+PNGs'!$L:L,MATCH($B110,'Slides+PNGs'!M:M,0))</f>
        <v>#N/A</v>
      </c>
      <c r="H110" s="5" t="s">
        <v>11</v>
      </c>
      <c r="I110" s="6" t="s">
        <v>357</v>
      </c>
      <c r="J110" s="6" t="s">
        <v>362</v>
      </c>
      <c r="K110" s="6" t="s">
        <v>95</v>
      </c>
      <c r="M110" s="9" t="s">
        <v>678</v>
      </c>
    </row>
    <row r="111" spans="1:13" s="6" customFormat="1" hidden="1" x14ac:dyDescent="0.3">
      <c r="A111" s="5">
        <v>109</v>
      </c>
      <c r="B111" s="9" t="s">
        <v>126</v>
      </c>
      <c r="C111" s="4" t="b">
        <f>IF(ISERROR(VLOOKUP(B111,'Slides+PNGs'!$M:$M,1,FALSE)),FALSE,TRUE)</f>
        <v>0</v>
      </c>
      <c r="D111" s="5" t="b">
        <v>1</v>
      </c>
      <c r="E111" s="5" t="e">
        <f>INDEX('Slides+PNGs'!$H:H,MATCH($B111,'Slides+PNGs'!M:M,0))</f>
        <v>#N/A</v>
      </c>
      <c r="F111" s="5" t="e">
        <f>INDEX('Slides+PNGs'!$I:I,MATCH($B111,'Slides+PNGs'!M:M,0))</f>
        <v>#N/A</v>
      </c>
      <c r="G111" s="5" t="e">
        <f>INDEX('Slides+PNGs'!$L:L,MATCH($B111,'Slides+PNGs'!M:M,0))</f>
        <v>#N/A</v>
      </c>
      <c r="H111" s="5" t="s">
        <v>11</v>
      </c>
      <c r="I111" s="6" t="s">
        <v>357</v>
      </c>
      <c r="J111" s="6" t="s">
        <v>362</v>
      </c>
      <c r="K111" s="6" t="s">
        <v>95</v>
      </c>
      <c r="M111" s="9" t="s">
        <v>678</v>
      </c>
    </row>
    <row r="112" spans="1:13" s="6" customFormat="1" hidden="1" x14ac:dyDescent="0.3">
      <c r="A112" s="5">
        <v>110</v>
      </c>
      <c r="B112" s="5" t="s">
        <v>358</v>
      </c>
      <c r="C112" s="6" t="b">
        <f>IF(ISERROR(VLOOKUP(B112,'Slides+PNGs'!$M:$M,1,FALSE)),FALSE,TRUE)</f>
        <v>1</v>
      </c>
      <c r="D112" s="5" t="b">
        <v>1</v>
      </c>
      <c r="E112" s="5" t="str">
        <f>INDEX('Slides+PNGs'!$H:H,MATCH($B112,'Slides+PNGs'!M:M,0))</f>
        <v>N/A</v>
      </c>
      <c r="F112" s="5" t="str">
        <f>INDEX('Slides+PNGs'!$I:I,MATCH($B112,'Slides+PNGs'!M:M,0))</f>
        <v>N/A</v>
      </c>
      <c r="G112" s="5">
        <f>INDEX('Slides+PNGs'!$L:L,MATCH($B112,'Slides+PNGs'!M:M,0))</f>
        <v>0</v>
      </c>
      <c r="H112" s="5" t="s">
        <v>11</v>
      </c>
      <c r="I112" s="6" t="s">
        <v>357</v>
      </c>
      <c r="J112" s="6" t="s">
        <v>362</v>
      </c>
      <c r="K112" s="6" t="s">
        <v>95</v>
      </c>
    </row>
    <row r="113" spans="1:11" s="6" customFormat="1" hidden="1" x14ac:dyDescent="0.3">
      <c r="A113" s="5">
        <v>111</v>
      </c>
      <c r="B113" s="5" t="s">
        <v>359</v>
      </c>
      <c r="C113" s="6" t="b">
        <f>IF(ISERROR(VLOOKUP(B113,'Slides+PNGs'!$M:$M,1,FALSE)),FALSE,TRUE)</f>
        <v>1</v>
      </c>
      <c r="D113" s="5" t="b">
        <v>1</v>
      </c>
      <c r="E113" s="5" t="str">
        <f>INDEX('Slides+PNGs'!$H:H,MATCH($B113,'Slides+PNGs'!M:M,0))</f>
        <v>N/A</v>
      </c>
      <c r="F113" s="5" t="str">
        <f>INDEX('Slides+PNGs'!$I:I,MATCH($B113,'Slides+PNGs'!M:M,0))</f>
        <v>N/A</v>
      </c>
      <c r="G113" s="5">
        <f>INDEX('Slides+PNGs'!$L:L,MATCH($B113,'Slides+PNGs'!M:M,0))</f>
        <v>0</v>
      </c>
      <c r="H113" s="5" t="s">
        <v>11</v>
      </c>
      <c r="I113" s="6" t="s">
        <v>357</v>
      </c>
      <c r="J113" s="6" t="s">
        <v>362</v>
      </c>
      <c r="K113" s="6" t="s">
        <v>95</v>
      </c>
    </row>
    <row r="114" spans="1:11" s="6" customFormat="1" hidden="1" x14ac:dyDescent="0.3">
      <c r="A114" s="5">
        <v>112</v>
      </c>
      <c r="B114" s="5" t="s">
        <v>360</v>
      </c>
      <c r="C114" s="6" t="b">
        <f>IF(ISERROR(VLOOKUP(B114,'Slides+PNGs'!$M:$M,1,FALSE)),FALSE,TRUE)</f>
        <v>1</v>
      </c>
      <c r="D114" s="5" t="b">
        <v>1</v>
      </c>
      <c r="E114" s="5" t="str">
        <f>INDEX('Slides+PNGs'!$H:H,MATCH($B114,'Slides+PNGs'!M:M,0))</f>
        <v>N/A</v>
      </c>
      <c r="F114" s="5" t="str">
        <f>INDEX('Slides+PNGs'!$I:I,MATCH($B114,'Slides+PNGs'!M:M,0))</f>
        <v>N/A</v>
      </c>
      <c r="G114" s="5">
        <f>INDEX('Slides+PNGs'!$L:L,MATCH($B114,'Slides+PNGs'!M:M,0))</f>
        <v>0</v>
      </c>
      <c r="H114" s="5" t="s">
        <v>11</v>
      </c>
      <c r="I114" s="6" t="s">
        <v>357</v>
      </c>
      <c r="J114" s="6" t="s">
        <v>362</v>
      </c>
      <c r="K114" s="6" t="s">
        <v>95</v>
      </c>
    </row>
    <row r="115" spans="1:11" s="6" customFormat="1" hidden="1" x14ac:dyDescent="0.3">
      <c r="A115" s="5">
        <v>113</v>
      </c>
      <c r="B115" s="5" t="s">
        <v>361</v>
      </c>
      <c r="C115" s="6" t="b">
        <f>IF(ISERROR(VLOOKUP(B115,'Slides+PNGs'!$M:$M,1,FALSE)),FALSE,TRUE)</f>
        <v>1</v>
      </c>
      <c r="D115" s="5" t="b">
        <v>1</v>
      </c>
      <c r="E115" s="5" t="str">
        <f>INDEX('Slides+PNGs'!$H:H,MATCH($B115,'Slides+PNGs'!M:M,0))</f>
        <v>N/A</v>
      </c>
      <c r="F115" s="5" t="str">
        <f>INDEX('Slides+PNGs'!$I:I,MATCH($B115,'Slides+PNGs'!M:M,0))</f>
        <v>N/A</v>
      </c>
      <c r="G115" s="5">
        <f>INDEX('Slides+PNGs'!$L:L,MATCH($B115,'Slides+PNGs'!M:M,0))</f>
        <v>0</v>
      </c>
      <c r="H115" s="5" t="s">
        <v>11</v>
      </c>
      <c r="I115" s="6" t="s">
        <v>357</v>
      </c>
      <c r="J115" s="6" t="s">
        <v>362</v>
      </c>
      <c r="K115" s="6" t="s">
        <v>95</v>
      </c>
    </row>
    <row r="116" spans="1:11" s="6" customFormat="1" hidden="1" x14ac:dyDescent="0.3">
      <c r="A116" s="5">
        <v>114</v>
      </c>
      <c r="B116" s="5" t="s">
        <v>363</v>
      </c>
      <c r="C116" s="6" t="b">
        <f>IF(ISERROR(VLOOKUP(B116,'Slides+PNGs'!$M:$M,1,FALSE)),FALSE,TRUE)</f>
        <v>1</v>
      </c>
      <c r="D116" s="5" t="b">
        <v>1</v>
      </c>
      <c r="E116" s="5" t="str">
        <f>INDEX('Slides+PNGs'!$H:H,MATCH($B116,'Slides+PNGs'!M:M,0))</f>
        <v>N/A</v>
      </c>
      <c r="F116" s="5" t="str">
        <f>INDEX('Slides+PNGs'!$I:I,MATCH($B116,'Slides+PNGs'!M:M,0))</f>
        <v>N/A</v>
      </c>
      <c r="G116" s="5">
        <f>INDEX('Slides+PNGs'!$L:L,MATCH($B116,'Slides+PNGs'!M:M,0))</f>
        <v>0</v>
      </c>
      <c r="H116" s="5" t="s">
        <v>11</v>
      </c>
      <c r="I116" s="6" t="s">
        <v>374</v>
      </c>
      <c r="J116" s="13" t="s">
        <v>139</v>
      </c>
    </row>
    <row r="117" spans="1:11" s="6" customFormat="1" hidden="1" x14ac:dyDescent="0.3">
      <c r="A117" s="5">
        <v>115</v>
      </c>
      <c r="B117" s="5" t="s">
        <v>364</v>
      </c>
      <c r="C117" s="6" t="b">
        <f>IF(ISERROR(VLOOKUP(B117,'Slides+PNGs'!$M:$M,1,FALSE)),FALSE,TRUE)</f>
        <v>1</v>
      </c>
      <c r="D117" s="5" t="b">
        <v>1</v>
      </c>
      <c r="E117" s="5" t="str">
        <f>INDEX('Slides+PNGs'!$H:H,MATCH($B117,'Slides+PNGs'!M:M,0))</f>
        <v>N/A</v>
      </c>
      <c r="F117" s="5" t="str">
        <f>INDEX('Slides+PNGs'!$I:I,MATCH($B117,'Slides+PNGs'!M:M,0))</f>
        <v>N/A</v>
      </c>
      <c r="G117" s="5">
        <f>INDEX('Slides+PNGs'!$L:L,MATCH($B117,'Slides+PNGs'!M:M,0))</f>
        <v>0</v>
      </c>
      <c r="H117" s="5" t="s">
        <v>11</v>
      </c>
      <c r="I117" s="6" t="s">
        <v>374</v>
      </c>
      <c r="J117" s="13" t="s">
        <v>139</v>
      </c>
    </row>
    <row r="118" spans="1:11" s="6" customFormat="1" hidden="1" x14ac:dyDescent="0.3">
      <c r="A118" s="5">
        <v>116</v>
      </c>
      <c r="B118" s="5" t="s">
        <v>365</v>
      </c>
      <c r="C118" s="6" t="b">
        <f>IF(ISERROR(VLOOKUP(B118,'Slides+PNGs'!$M:$M,1,FALSE)),FALSE,TRUE)</f>
        <v>1</v>
      </c>
      <c r="D118" s="5" t="b">
        <v>1</v>
      </c>
      <c r="E118" s="5" t="str">
        <f>INDEX('Slides+PNGs'!$H:H,MATCH($B118,'Slides+PNGs'!M:M,0))</f>
        <v>N/A</v>
      </c>
      <c r="F118" s="5" t="str">
        <f>INDEX('Slides+PNGs'!$I:I,MATCH($B118,'Slides+PNGs'!M:M,0))</f>
        <v>N/A</v>
      </c>
      <c r="G118" s="5">
        <f>INDEX('Slides+PNGs'!$L:L,MATCH($B118,'Slides+PNGs'!M:M,0))</f>
        <v>0</v>
      </c>
      <c r="H118" s="5" t="s">
        <v>11</v>
      </c>
      <c r="I118" s="6" t="s">
        <v>374</v>
      </c>
      <c r="J118" s="13" t="s">
        <v>139</v>
      </c>
    </row>
    <row r="119" spans="1:11" s="6" customFormat="1" hidden="1" x14ac:dyDescent="0.3">
      <c r="A119" s="5">
        <v>117</v>
      </c>
      <c r="B119" s="5" t="s">
        <v>366</v>
      </c>
      <c r="C119" s="6" t="b">
        <f>IF(ISERROR(VLOOKUP(B119,'Slides+PNGs'!$M:$M,1,FALSE)),FALSE,TRUE)</f>
        <v>1</v>
      </c>
      <c r="D119" s="5" t="b">
        <v>1</v>
      </c>
      <c r="E119" s="5" t="str">
        <f>INDEX('Slides+PNGs'!$H:H,MATCH($B119,'Slides+PNGs'!M:M,0))</f>
        <v>N/A</v>
      </c>
      <c r="F119" s="5" t="str">
        <f>INDEX('Slides+PNGs'!$I:I,MATCH($B119,'Slides+PNGs'!M:M,0))</f>
        <v>N/A</v>
      </c>
      <c r="G119" s="5">
        <f>INDEX('Slides+PNGs'!$L:L,MATCH($B119,'Slides+PNGs'!M:M,0))</f>
        <v>0</v>
      </c>
      <c r="H119" s="5" t="s">
        <v>11</v>
      </c>
      <c r="I119" s="6" t="s">
        <v>374</v>
      </c>
      <c r="J119" s="13" t="s">
        <v>139</v>
      </c>
    </row>
    <row r="120" spans="1:11" s="6" customFormat="1" hidden="1" x14ac:dyDescent="0.3">
      <c r="A120" s="5">
        <v>118</v>
      </c>
      <c r="B120" s="5" t="s">
        <v>142</v>
      </c>
      <c r="C120" s="6" t="b">
        <f>IF(ISERROR(VLOOKUP(B120,'Slides+PNGs'!$M:$M,1,FALSE)),FALSE,TRUE)</f>
        <v>1</v>
      </c>
      <c r="D120" s="5" t="b">
        <v>1</v>
      </c>
      <c r="E120" s="5" t="str">
        <f>INDEX('Slides+PNGs'!$H:H,MATCH($B120,'Slides+PNGs'!M:M,0))</f>
        <v>N/A</v>
      </c>
      <c r="F120" s="5" t="str">
        <f>INDEX('Slides+PNGs'!$I:I,MATCH($B120,'Slides+PNGs'!M:M,0))</f>
        <v>N/A</v>
      </c>
      <c r="G120" s="5">
        <f>INDEX('Slides+PNGs'!$L:L,MATCH($B120,'Slides+PNGs'!M:M,0))</f>
        <v>0</v>
      </c>
      <c r="H120" s="5" t="s">
        <v>11</v>
      </c>
      <c r="I120" s="6" t="s">
        <v>374</v>
      </c>
      <c r="J120" s="13" t="s">
        <v>140</v>
      </c>
    </row>
    <row r="121" spans="1:11" s="6" customFormat="1" hidden="1" x14ac:dyDescent="0.3">
      <c r="A121" s="5">
        <v>119</v>
      </c>
      <c r="B121" s="5" t="s">
        <v>367</v>
      </c>
      <c r="C121" s="6" t="b">
        <f>IF(ISERROR(VLOOKUP(B121,'Slides+PNGs'!$M:$M,1,FALSE)),FALSE,TRUE)</f>
        <v>1</v>
      </c>
      <c r="D121" s="5" t="b">
        <v>1</v>
      </c>
      <c r="E121" s="5" t="str">
        <f>INDEX('Slides+PNGs'!$H:H,MATCH($B121,'Slides+PNGs'!M:M,0))</f>
        <v>N/A</v>
      </c>
      <c r="F121" s="5" t="str">
        <f>INDEX('Slides+PNGs'!$I:I,MATCH($B121,'Slides+PNGs'!M:M,0))</f>
        <v>N/A</v>
      </c>
      <c r="G121" s="5">
        <f>INDEX('Slides+PNGs'!$L:L,MATCH($B121,'Slides+PNGs'!M:M,0))</f>
        <v>0</v>
      </c>
      <c r="H121" s="5" t="s">
        <v>11</v>
      </c>
      <c r="I121" s="6" t="s">
        <v>374</v>
      </c>
      <c r="J121" s="13" t="s">
        <v>140</v>
      </c>
    </row>
    <row r="122" spans="1:11" s="6" customFormat="1" hidden="1" x14ac:dyDescent="0.3">
      <c r="A122" s="5">
        <v>120</v>
      </c>
      <c r="B122" s="5" t="s">
        <v>368</v>
      </c>
      <c r="C122" s="6" t="b">
        <f>IF(ISERROR(VLOOKUP(B122,'Slides+PNGs'!$M:$M,1,FALSE)),FALSE,TRUE)</f>
        <v>1</v>
      </c>
      <c r="D122" s="5" t="b">
        <v>1</v>
      </c>
      <c r="E122" s="5" t="str">
        <f>INDEX('Slides+PNGs'!$H:H,MATCH($B122,'Slides+PNGs'!M:M,0))</f>
        <v>N/A</v>
      </c>
      <c r="F122" s="5" t="str">
        <f>INDEX('Slides+PNGs'!$I:I,MATCH($B122,'Slides+PNGs'!M:M,0))</f>
        <v>N/A</v>
      </c>
      <c r="G122" s="5">
        <f>INDEX('Slides+PNGs'!$L:L,MATCH($B122,'Slides+PNGs'!M:M,0))</f>
        <v>0</v>
      </c>
      <c r="H122" s="5" t="s">
        <v>11</v>
      </c>
      <c r="I122" s="6" t="s">
        <v>374</v>
      </c>
      <c r="J122" s="13" t="s">
        <v>140</v>
      </c>
    </row>
    <row r="123" spans="1:11" s="6" customFormat="1" hidden="1" x14ac:dyDescent="0.3">
      <c r="A123" s="5">
        <v>121</v>
      </c>
      <c r="B123" s="5" t="s">
        <v>369</v>
      </c>
      <c r="C123" s="6" t="b">
        <f>IF(ISERROR(VLOOKUP(B123,'Slides+PNGs'!$M:$M,1,FALSE)),FALSE,TRUE)</f>
        <v>1</v>
      </c>
      <c r="D123" s="5" t="b">
        <v>1</v>
      </c>
      <c r="E123" s="5" t="str">
        <f>INDEX('Slides+PNGs'!$H:H,MATCH($B123,'Slides+PNGs'!M:M,0))</f>
        <v>N/A</v>
      </c>
      <c r="F123" s="5" t="str">
        <f>INDEX('Slides+PNGs'!$I:I,MATCH($B123,'Slides+PNGs'!M:M,0))</f>
        <v>N/A</v>
      </c>
      <c r="G123" s="5">
        <f>INDEX('Slides+PNGs'!$L:L,MATCH($B123,'Slides+PNGs'!M:M,0))</f>
        <v>0</v>
      </c>
      <c r="H123" s="5" t="s">
        <v>11</v>
      </c>
      <c r="I123" s="6" t="s">
        <v>374</v>
      </c>
      <c r="J123" s="13" t="s">
        <v>140</v>
      </c>
    </row>
    <row r="124" spans="1:11" s="6" customFormat="1" hidden="1" x14ac:dyDescent="0.3">
      <c r="A124" s="5">
        <v>122</v>
      </c>
      <c r="B124" s="5" t="s">
        <v>370</v>
      </c>
      <c r="C124" s="6" t="b">
        <f>IF(ISERROR(VLOOKUP(B124,'Slides+PNGs'!$M:$M,1,FALSE)),FALSE,TRUE)</f>
        <v>1</v>
      </c>
      <c r="D124" s="5" t="b">
        <v>1</v>
      </c>
      <c r="E124" s="5" t="str">
        <f>INDEX('Slides+PNGs'!$H:H,MATCH($B124,'Slides+PNGs'!M:M,0))</f>
        <v>N/A</v>
      </c>
      <c r="F124" s="5" t="str">
        <f>INDEX('Slides+PNGs'!$I:I,MATCH($B124,'Slides+PNGs'!M:M,0))</f>
        <v>N/A</v>
      </c>
      <c r="G124" s="5">
        <f>INDEX('Slides+PNGs'!$L:L,MATCH($B124,'Slides+PNGs'!M:M,0))</f>
        <v>0</v>
      </c>
      <c r="H124" s="5" t="s">
        <v>11</v>
      </c>
      <c r="I124" s="7" t="s">
        <v>374</v>
      </c>
      <c r="J124" s="13" t="s">
        <v>141</v>
      </c>
    </row>
    <row r="125" spans="1:11" s="6" customFormat="1" hidden="1" x14ac:dyDescent="0.3">
      <c r="A125" s="5">
        <v>123</v>
      </c>
      <c r="B125" s="5" t="s">
        <v>371</v>
      </c>
      <c r="C125" s="6" t="b">
        <f>IF(ISERROR(VLOOKUP(B125,'Slides+PNGs'!$M:$M,1,FALSE)),FALSE,TRUE)</f>
        <v>1</v>
      </c>
      <c r="D125" s="5" t="b">
        <v>1</v>
      </c>
      <c r="E125" s="5" t="str">
        <f>INDEX('Slides+PNGs'!$H:H,MATCH($B125,'Slides+PNGs'!M:M,0))</f>
        <v>N/A</v>
      </c>
      <c r="F125" s="5" t="str">
        <f>INDEX('Slides+PNGs'!$I:I,MATCH($B125,'Slides+PNGs'!M:M,0))</f>
        <v>N/A</v>
      </c>
      <c r="G125" s="5">
        <f>INDEX('Slides+PNGs'!$L:L,MATCH($B125,'Slides+PNGs'!M:M,0))</f>
        <v>0</v>
      </c>
      <c r="H125" s="5" t="s">
        <v>11</v>
      </c>
      <c r="I125" s="7" t="s">
        <v>374</v>
      </c>
      <c r="J125" s="13" t="s">
        <v>141</v>
      </c>
    </row>
    <row r="126" spans="1:11" s="6" customFormat="1" hidden="1" x14ac:dyDescent="0.3">
      <c r="A126" s="5">
        <v>124</v>
      </c>
      <c r="B126" s="5" t="s">
        <v>372</v>
      </c>
      <c r="C126" s="6" t="b">
        <f>IF(ISERROR(VLOOKUP(B126,'Slides+PNGs'!$M:$M,1,FALSE)),FALSE,TRUE)</f>
        <v>1</v>
      </c>
      <c r="D126" s="5" t="b">
        <v>1</v>
      </c>
      <c r="E126" s="5" t="str">
        <f>INDEX('Slides+PNGs'!$H:H,MATCH($B126,'Slides+PNGs'!M:M,0))</f>
        <v>N/A</v>
      </c>
      <c r="F126" s="5" t="str">
        <f>INDEX('Slides+PNGs'!$I:I,MATCH($B126,'Slides+PNGs'!M:M,0))</f>
        <v>N/A</v>
      </c>
      <c r="G126" s="5">
        <f>INDEX('Slides+PNGs'!$L:L,MATCH($B126,'Slides+PNGs'!M:M,0))</f>
        <v>0</v>
      </c>
      <c r="H126" s="5" t="s">
        <v>11</v>
      </c>
      <c r="I126" s="7" t="s">
        <v>374</v>
      </c>
      <c r="J126" s="13" t="s">
        <v>141</v>
      </c>
    </row>
    <row r="127" spans="1:11" s="6" customFormat="1" hidden="1" x14ac:dyDescent="0.3">
      <c r="A127" s="5">
        <v>125</v>
      </c>
      <c r="B127" s="5" t="s">
        <v>373</v>
      </c>
      <c r="C127" s="6" t="b">
        <f>IF(ISERROR(VLOOKUP(B127,'Slides+PNGs'!$M:$M,1,FALSE)),FALSE,TRUE)</f>
        <v>1</v>
      </c>
      <c r="D127" s="5" t="b">
        <v>1</v>
      </c>
      <c r="E127" s="5" t="str">
        <f>INDEX('Slides+PNGs'!$H:H,MATCH($B127,'Slides+PNGs'!M:M,0))</f>
        <v>N/A</v>
      </c>
      <c r="F127" s="5" t="str">
        <f>INDEX('Slides+PNGs'!$I:I,MATCH($B127,'Slides+PNGs'!M:M,0))</f>
        <v>N/A</v>
      </c>
      <c r="G127" s="5">
        <f>INDEX('Slides+PNGs'!$L:L,MATCH($B127,'Slides+PNGs'!M:M,0))</f>
        <v>0</v>
      </c>
      <c r="H127" s="5" t="s">
        <v>11</v>
      </c>
      <c r="I127" s="7" t="s">
        <v>374</v>
      </c>
      <c r="J127" s="13" t="s">
        <v>141</v>
      </c>
    </row>
    <row r="128" spans="1:11" s="6" customFormat="1" hidden="1" x14ac:dyDescent="0.3">
      <c r="A128" s="5">
        <v>126</v>
      </c>
      <c r="B128" s="5" t="s">
        <v>144</v>
      </c>
      <c r="C128" s="6" t="b">
        <f>IF(ISERROR(VLOOKUP(B128,'Slides+PNGs'!$M:$M,1,FALSE)),FALSE,TRUE)</f>
        <v>1</v>
      </c>
      <c r="D128" s="5" t="b">
        <v>1</v>
      </c>
      <c r="E128" s="5" t="str">
        <f>INDEX('Slides+PNGs'!$H:H,MATCH($B128,'Slides+PNGs'!M:M,0))</f>
        <v>N/A</v>
      </c>
      <c r="F128" s="5" t="str">
        <f>INDEX('Slides+PNGs'!$I:I,MATCH($B128,'Slides+PNGs'!M:M,0))</f>
        <v>N/A</v>
      </c>
      <c r="G128" s="5">
        <f>INDEX('Slides+PNGs'!$L:L,MATCH($B128,'Slides+PNGs'!M:M,0))</f>
        <v>0</v>
      </c>
      <c r="H128" s="5" t="s">
        <v>11</v>
      </c>
      <c r="I128" s="6" t="s">
        <v>375</v>
      </c>
      <c r="J128" s="6" t="s">
        <v>143</v>
      </c>
    </row>
    <row r="129" spans="1:13" s="6" customFormat="1" ht="144" hidden="1" x14ac:dyDescent="0.3">
      <c r="A129" s="5">
        <v>127</v>
      </c>
      <c r="B129" s="5" t="s">
        <v>292</v>
      </c>
      <c r="C129" s="6" t="b">
        <f>IF(ISERROR(VLOOKUP(B129,'Slides+PNGs'!$M:$M,1,FALSE)),FALSE,TRUE)</f>
        <v>1</v>
      </c>
      <c r="D129" s="5" t="b">
        <v>1</v>
      </c>
      <c r="E129" s="5" t="str">
        <f>INDEX('Slides+PNGs'!$H:H,MATCH($B129,'Slides+PNGs'!M:M,0))</f>
        <v>N/A</v>
      </c>
      <c r="F129" s="5" t="str">
        <f>INDEX('Slides+PNGs'!$I:I,MATCH($B129,'Slides+PNGs'!M:M,0))</f>
        <v>N/A</v>
      </c>
      <c r="G129" s="5">
        <f>INDEX('Slides+PNGs'!$L:L,MATCH($B129,'Slides+PNGs'!M:M,0))</f>
        <v>0</v>
      </c>
      <c r="H129" s="5" t="s">
        <v>11</v>
      </c>
      <c r="I129" s="6" t="s">
        <v>377</v>
      </c>
      <c r="J129" s="5" t="s">
        <v>376</v>
      </c>
      <c r="K129" s="6" t="s">
        <v>153</v>
      </c>
    </row>
    <row r="130" spans="1:13" s="6" customFormat="1" ht="144" hidden="1" x14ac:dyDescent="0.3">
      <c r="A130" s="5">
        <v>128</v>
      </c>
      <c r="B130" s="5" t="s">
        <v>293</v>
      </c>
      <c r="C130" s="6" t="b">
        <f>IF(ISERROR(VLOOKUP(B130,'Slides+PNGs'!$M:$M,1,FALSE)),FALSE,TRUE)</f>
        <v>1</v>
      </c>
      <c r="D130" s="5" t="b">
        <v>1</v>
      </c>
      <c r="E130" s="5" t="str">
        <f>INDEX('Slides+PNGs'!$H:H,MATCH($B130,'Slides+PNGs'!M:M,0))</f>
        <v>N/A</v>
      </c>
      <c r="F130" s="5" t="str">
        <f>INDEX('Slides+PNGs'!$I:I,MATCH($B130,'Slides+PNGs'!M:M,0))</f>
        <v>N/A</v>
      </c>
      <c r="G130" s="5">
        <f>INDEX('Slides+PNGs'!$L:L,MATCH($B130,'Slides+PNGs'!M:M,0))</f>
        <v>0</v>
      </c>
      <c r="H130" s="5" t="s">
        <v>11</v>
      </c>
      <c r="I130" s="6" t="s">
        <v>377</v>
      </c>
      <c r="J130" s="5" t="s">
        <v>376</v>
      </c>
      <c r="K130" s="6" t="s">
        <v>153</v>
      </c>
    </row>
    <row r="131" spans="1:13" s="6" customFormat="1" ht="144" hidden="1" x14ac:dyDescent="0.3">
      <c r="A131" s="5">
        <v>129</v>
      </c>
      <c r="B131" s="5" t="s">
        <v>294</v>
      </c>
      <c r="C131" s="6" t="b">
        <f>IF(ISERROR(VLOOKUP(B131,'Slides+PNGs'!$M:$M,1,FALSE)),FALSE,TRUE)</f>
        <v>1</v>
      </c>
      <c r="D131" s="5" t="b">
        <v>1</v>
      </c>
      <c r="E131" s="5" t="str">
        <f>INDEX('Slides+PNGs'!$H:H,MATCH($B131,'Slides+PNGs'!M:M,0))</f>
        <v>N/A</v>
      </c>
      <c r="F131" s="5" t="str">
        <f>INDEX('Slides+PNGs'!$I:I,MATCH($B131,'Slides+PNGs'!M:M,0))</f>
        <v>N/A</v>
      </c>
      <c r="G131" s="5">
        <f>INDEX('Slides+PNGs'!$L:L,MATCH($B131,'Slides+PNGs'!M:M,0))</f>
        <v>0</v>
      </c>
      <c r="H131" s="5" t="s">
        <v>11</v>
      </c>
      <c r="I131" s="6" t="s">
        <v>377</v>
      </c>
      <c r="J131" s="5" t="s">
        <v>376</v>
      </c>
      <c r="K131" s="6" t="s">
        <v>153</v>
      </c>
    </row>
    <row r="132" spans="1:13" s="6" customFormat="1" ht="144" hidden="1" x14ac:dyDescent="0.3">
      <c r="A132" s="5">
        <v>130</v>
      </c>
      <c r="B132" s="9" t="s">
        <v>295</v>
      </c>
      <c r="C132" s="4" t="b">
        <f>IF(ISERROR(VLOOKUP(B132,'Slides+PNGs'!$M:$M,1,FALSE)),FALSE,TRUE)</f>
        <v>0</v>
      </c>
      <c r="D132" s="5" t="b">
        <v>1</v>
      </c>
      <c r="E132" s="5" t="e">
        <f>INDEX('Slides+PNGs'!$H:H,MATCH($B132,'Slides+PNGs'!M:M,0))</f>
        <v>#N/A</v>
      </c>
      <c r="F132" s="5" t="e">
        <f>INDEX('Slides+PNGs'!$I:I,MATCH($B132,'Slides+PNGs'!M:M,0))</f>
        <v>#N/A</v>
      </c>
      <c r="G132" s="5" t="e">
        <f>INDEX('Slides+PNGs'!$L:L,MATCH($B132,'Slides+PNGs'!M:M,0))</f>
        <v>#N/A</v>
      </c>
      <c r="H132" s="5" t="s">
        <v>11</v>
      </c>
      <c r="I132" s="6" t="s">
        <v>377</v>
      </c>
      <c r="J132" s="5" t="s">
        <v>376</v>
      </c>
      <c r="K132" s="6" t="s">
        <v>153</v>
      </c>
      <c r="M132" s="9" t="s">
        <v>678</v>
      </c>
    </row>
    <row r="133" spans="1:13" s="6" customFormat="1" ht="144" hidden="1" x14ac:dyDescent="0.3">
      <c r="A133" s="5">
        <v>131</v>
      </c>
      <c r="B133" s="5" t="s">
        <v>296</v>
      </c>
      <c r="C133" s="6" t="b">
        <f>IF(ISERROR(VLOOKUP(B133,'Slides+PNGs'!$M:$M,1,FALSE)),FALSE,TRUE)</f>
        <v>1</v>
      </c>
      <c r="D133" s="5" t="b">
        <v>1</v>
      </c>
      <c r="E133" s="5" t="str">
        <f>INDEX('Slides+PNGs'!$H:H,MATCH($B133,'Slides+PNGs'!M:M,0))</f>
        <v>N/A</v>
      </c>
      <c r="F133" s="5" t="str">
        <f>INDEX('Slides+PNGs'!$I:I,MATCH($B133,'Slides+PNGs'!M:M,0))</f>
        <v>N/A</v>
      </c>
      <c r="G133" s="5">
        <f>INDEX('Slides+PNGs'!$L:L,MATCH($B133,'Slides+PNGs'!M:M,0))</f>
        <v>0</v>
      </c>
      <c r="H133" s="5" t="s">
        <v>11</v>
      </c>
      <c r="I133" s="6" t="s">
        <v>377</v>
      </c>
      <c r="J133" s="5" t="s">
        <v>376</v>
      </c>
      <c r="K133" s="6" t="s">
        <v>153</v>
      </c>
    </row>
    <row r="134" spans="1:13" s="6" customFormat="1" ht="144" hidden="1" x14ac:dyDescent="0.3">
      <c r="A134" s="5">
        <v>132</v>
      </c>
      <c r="B134" s="9" t="s">
        <v>297</v>
      </c>
      <c r="C134" s="4" t="b">
        <f>IF(ISERROR(VLOOKUP(B134,'Slides+PNGs'!$M:$M,1,FALSE)),FALSE,TRUE)</f>
        <v>0</v>
      </c>
      <c r="D134" s="5" t="b">
        <v>1</v>
      </c>
      <c r="E134" s="5" t="e">
        <f>INDEX('Slides+PNGs'!$H:H,MATCH($B134,'Slides+PNGs'!M:M,0))</f>
        <v>#N/A</v>
      </c>
      <c r="F134" s="5" t="e">
        <f>INDEX('Slides+PNGs'!$I:I,MATCH($B134,'Slides+PNGs'!M:M,0))</f>
        <v>#N/A</v>
      </c>
      <c r="G134" s="5" t="e">
        <f>INDEX('Slides+PNGs'!$L:L,MATCH($B134,'Slides+PNGs'!M:M,0))</f>
        <v>#N/A</v>
      </c>
      <c r="H134" s="5" t="s">
        <v>11</v>
      </c>
      <c r="I134" s="6" t="s">
        <v>377</v>
      </c>
      <c r="J134" s="5" t="s">
        <v>376</v>
      </c>
      <c r="K134" s="6" t="s">
        <v>153</v>
      </c>
      <c r="M134" s="9" t="s">
        <v>678</v>
      </c>
    </row>
    <row r="135" spans="1:13" s="6" customFormat="1" ht="144" hidden="1" x14ac:dyDescent="0.3">
      <c r="A135" s="5">
        <v>133</v>
      </c>
      <c r="B135" s="5" t="s">
        <v>298</v>
      </c>
      <c r="C135" s="6" t="b">
        <f>IF(ISERROR(VLOOKUP(B135,'Slides+PNGs'!$M:$M,1,FALSE)),FALSE,TRUE)</f>
        <v>1</v>
      </c>
      <c r="D135" s="5" t="b">
        <v>1</v>
      </c>
      <c r="E135" s="5" t="str">
        <f>INDEX('Slides+PNGs'!$H:H,MATCH($B135,'Slides+PNGs'!M:M,0))</f>
        <v>N/A</v>
      </c>
      <c r="F135" s="5" t="str">
        <f>INDEX('Slides+PNGs'!$I:I,MATCH($B135,'Slides+PNGs'!M:M,0))</f>
        <v>N/A</v>
      </c>
      <c r="G135" s="5">
        <f>INDEX('Slides+PNGs'!$L:L,MATCH($B135,'Slides+PNGs'!M:M,0))</f>
        <v>0</v>
      </c>
      <c r="H135" s="5" t="s">
        <v>11</v>
      </c>
      <c r="I135" s="6" t="s">
        <v>377</v>
      </c>
      <c r="J135" s="5" t="s">
        <v>376</v>
      </c>
      <c r="K135" s="6" t="s">
        <v>153</v>
      </c>
    </row>
    <row r="136" spans="1:13" s="6" customFormat="1" ht="144" hidden="1" x14ac:dyDescent="0.3">
      <c r="A136" s="5">
        <v>134</v>
      </c>
      <c r="B136" s="5" t="s">
        <v>299</v>
      </c>
      <c r="C136" s="6" t="b">
        <f>IF(ISERROR(VLOOKUP(B136,'Slides+PNGs'!$M:$M,1,FALSE)),FALSE,TRUE)</f>
        <v>1</v>
      </c>
      <c r="D136" s="5" t="b">
        <v>1</v>
      </c>
      <c r="E136" s="5" t="str">
        <f>INDEX('Slides+PNGs'!$H:H,MATCH($B136,'Slides+PNGs'!M:M,0))</f>
        <v>N/A</v>
      </c>
      <c r="F136" s="5" t="str">
        <f>INDEX('Slides+PNGs'!$I:I,MATCH($B136,'Slides+PNGs'!M:M,0))</f>
        <v>N/A</v>
      </c>
      <c r="G136" s="5">
        <f>INDEX('Slides+PNGs'!$L:L,MATCH($B136,'Slides+PNGs'!M:M,0))</f>
        <v>0</v>
      </c>
      <c r="H136" s="5" t="s">
        <v>11</v>
      </c>
      <c r="I136" s="6" t="s">
        <v>377</v>
      </c>
      <c r="J136" s="5" t="s">
        <v>376</v>
      </c>
      <c r="K136" s="6" t="s">
        <v>153</v>
      </c>
    </row>
    <row r="137" spans="1:13" s="6" customFormat="1" ht="144" hidden="1" x14ac:dyDescent="0.3">
      <c r="A137" s="5">
        <v>135</v>
      </c>
      <c r="B137" s="5" t="s">
        <v>300</v>
      </c>
      <c r="C137" s="6" t="b">
        <f>IF(ISERROR(VLOOKUP(B137,'Slides+PNGs'!$M:$M,1,FALSE)),FALSE,TRUE)</f>
        <v>1</v>
      </c>
      <c r="D137" s="5" t="b">
        <v>1</v>
      </c>
      <c r="E137" s="5" t="str">
        <f>INDEX('Slides+PNGs'!$H:H,MATCH($B137,'Slides+PNGs'!M:M,0))</f>
        <v>N/A</v>
      </c>
      <c r="F137" s="5" t="str">
        <f>INDEX('Slides+PNGs'!$I:I,MATCH($B137,'Slides+PNGs'!M:M,0))</f>
        <v>N/A</v>
      </c>
      <c r="G137" s="5">
        <f>INDEX('Slides+PNGs'!$L:L,MATCH($B137,'Slides+PNGs'!M:M,0))</f>
        <v>0</v>
      </c>
      <c r="H137" s="5" t="s">
        <v>11</v>
      </c>
      <c r="I137" s="6" t="s">
        <v>377</v>
      </c>
      <c r="J137" s="5" t="s">
        <v>376</v>
      </c>
      <c r="K137" s="6" t="s">
        <v>153</v>
      </c>
    </row>
    <row r="138" spans="1:13" s="6" customFormat="1" ht="144" hidden="1" x14ac:dyDescent="0.3">
      <c r="A138" s="5">
        <v>136</v>
      </c>
      <c r="B138" s="5" t="s">
        <v>301</v>
      </c>
      <c r="C138" s="6" t="b">
        <f>IF(ISERROR(VLOOKUP(B138,'Slides+PNGs'!$M:$M,1,FALSE)),FALSE,TRUE)</f>
        <v>1</v>
      </c>
      <c r="D138" s="5" t="b">
        <v>1</v>
      </c>
      <c r="E138" s="5" t="str">
        <f>INDEX('Slides+PNGs'!$H:H,MATCH($B138,'Slides+PNGs'!M:M,0))</f>
        <v>N/A</v>
      </c>
      <c r="F138" s="5" t="str">
        <f>INDEX('Slides+PNGs'!$I:I,MATCH($B138,'Slides+PNGs'!M:M,0))</f>
        <v>N/A</v>
      </c>
      <c r="G138" s="5">
        <f>INDEX('Slides+PNGs'!$L:L,MATCH($B138,'Slides+PNGs'!M:M,0))</f>
        <v>0</v>
      </c>
      <c r="H138" s="5" t="s">
        <v>11</v>
      </c>
      <c r="I138" s="6" t="s">
        <v>377</v>
      </c>
      <c r="J138" s="5" t="s">
        <v>376</v>
      </c>
      <c r="K138" s="6" t="s">
        <v>153</v>
      </c>
    </row>
    <row r="139" spans="1:13" s="6" customFormat="1" ht="144" hidden="1" x14ac:dyDescent="0.3">
      <c r="A139" s="5">
        <v>137</v>
      </c>
      <c r="B139" s="9" t="s">
        <v>302</v>
      </c>
      <c r="C139" s="4" t="b">
        <f>IF(ISERROR(VLOOKUP(B139,'Slides+PNGs'!$M:$M,1,FALSE)),FALSE,TRUE)</f>
        <v>0</v>
      </c>
      <c r="D139" s="5" t="b">
        <v>1</v>
      </c>
      <c r="E139" s="5" t="e">
        <f>INDEX('Slides+PNGs'!$H:H,MATCH($B139,'Slides+PNGs'!M:M,0))</f>
        <v>#N/A</v>
      </c>
      <c r="F139" s="5" t="e">
        <f>INDEX('Slides+PNGs'!$I:I,MATCH($B139,'Slides+PNGs'!M:M,0))</f>
        <v>#N/A</v>
      </c>
      <c r="G139" s="5" t="e">
        <f>INDEX('Slides+PNGs'!$L:L,MATCH($B139,'Slides+PNGs'!M:M,0))</f>
        <v>#N/A</v>
      </c>
      <c r="H139" s="5" t="s">
        <v>11</v>
      </c>
      <c r="I139" s="6" t="s">
        <v>377</v>
      </c>
      <c r="J139" s="5" t="s">
        <v>376</v>
      </c>
      <c r="K139" s="6" t="s">
        <v>153</v>
      </c>
      <c r="M139" s="9" t="s">
        <v>678</v>
      </c>
    </row>
    <row r="140" spans="1:13" s="6" customFormat="1" ht="144" hidden="1" x14ac:dyDescent="0.3">
      <c r="A140" s="5">
        <v>138</v>
      </c>
      <c r="B140" s="5" t="s">
        <v>303</v>
      </c>
      <c r="C140" s="6" t="b">
        <f>IF(ISERROR(VLOOKUP(B140,'Slides+PNGs'!$M:$M,1,FALSE)),FALSE,TRUE)</f>
        <v>1</v>
      </c>
      <c r="D140" s="5" t="b">
        <v>1</v>
      </c>
      <c r="E140" s="5" t="str">
        <f>INDEX('Slides+PNGs'!$H:H,MATCH($B140,'Slides+PNGs'!M:M,0))</f>
        <v>N/A</v>
      </c>
      <c r="F140" s="5" t="str">
        <f>INDEX('Slides+PNGs'!$I:I,MATCH($B140,'Slides+PNGs'!M:M,0))</f>
        <v>N/A</v>
      </c>
      <c r="G140" s="5" t="b">
        <f>INDEX('Slides+PNGs'!$L:L,MATCH($B140,'Slides+PNGs'!M:M,0))</f>
        <v>0</v>
      </c>
      <c r="H140" s="5" t="s">
        <v>11</v>
      </c>
      <c r="I140" s="6" t="s">
        <v>377</v>
      </c>
      <c r="J140" s="5" t="s">
        <v>376</v>
      </c>
      <c r="K140" s="6" t="s">
        <v>153</v>
      </c>
    </row>
    <row r="141" spans="1:13" s="6" customFormat="1" ht="144" hidden="1" x14ac:dyDescent="0.3">
      <c r="A141" s="5">
        <v>139</v>
      </c>
      <c r="B141" s="5" t="s">
        <v>304</v>
      </c>
      <c r="C141" s="6" t="b">
        <f>IF(ISERROR(VLOOKUP(B141,'Slides+PNGs'!$M:$M,1,FALSE)),FALSE,TRUE)</f>
        <v>1</v>
      </c>
      <c r="D141" s="5" t="b">
        <v>1</v>
      </c>
      <c r="E141" s="5" t="str">
        <f>INDEX('Slides+PNGs'!$H:H,MATCH($B141,'Slides+PNGs'!M:M,0))</f>
        <v>N/A</v>
      </c>
      <c r="F141" s="5" t="str">
        <f>INDEX('Slides+PNGs'!$I:I,MATCH($B141,'Slides+PNGs'!M:M,0))</f>
        <v>N/A</v>
      </c>
      <c r="G141" s="5" t="b">
        <f>INDEX('Slides+PNGs'!$L:L,MATCH($B141,'Slides+PNGs'!M:M,0))</f>
        <v>0</v>
      </c>
      <c r="H141" s="5" t="s">
        <v>11</v>
      </c>
      <c r="I141" s="6" t="s">
        <v>377</v>
      </c>
      <c r="J141" s="5" t="s">
        <v>376</v>
      </c>
      <c r="K141" s="6" t="s">
        <v>153</v>
      </c>
    </row>
    <row r="142" spans="1:13" s="6" customFormat="1" ht="144" hidden="1" x14ac:dyDescent="0.3">
      <c r="A142" s="5">
        <v>140</v>
      </c>
      <c r="B142" s="5" t="s">
        <v>305</v>
      </c>
      <c r="C142" s="6" t="b">
        <f>IF(ISERROR(VLOOKUP(B142,'Slides+PNGs'!$M:$M,1,FALSE)),FALSE,TRUE)</f>
        <v>1</v>
      </c>
      <c r="D142" s="5" t="b">
        <v>1</v>
      </c>
      <c r="E142" s="5" t="str">
        <f>INDEX('Slides+PNGs'!$H:H,MATCH($B142,'Slides+PNGs'!M:M,0))</f>
        <v>N/A</v>
      </c>
      <c r="F142" s="5" t="str">
        <f>INDEX('Slides+PNGs'!$I:I,MATCH($B142,'Slides+PNGs'!M:M,0))</f>
        <v>N/A</v>
      </c>
      <c r="G142" s="5" t="b">
        <f>INDEX('Slides+PNGs'!$L:L,MATCH($B142,'Slides+PNGs'!M:M,0))</f>
        <v>0</v>
      </c>
      <c r="H142" s="5" t="s">
        <v>11</v>
      </c>
      <c r="I142" s="6" t="s">
        <v>377</v>
      </c>
      <c r="J142" s="5" t="s">
        <v>376</v>
      </c>
      <c r="K142" s="6" t="s">
        <v>153</v>
      </c>
    </row>
    <row r="143" spans="1:13" s="6" customFormat="1" ht="144" hidden="1" x14ac:dyDescent="0.3">
      <c r="A143" s="5">
        <v>141</v>
      </c>
      <c r="B143" s="5" t="s">
        <v>306</v>
      </c>
      <c r="C143" s="6" t="b">
        <f>IF(ISERROR(VLOOKUP(B143,'Slides+PNGs'!$M:$M,1,FALSE)),FALSE,TRUE)</f>
        <v>1</v>
      </c>
      <c r="D143" s="5" t="b">
        <v>1</v>
      </c>
      <c r="E143" s="5" t="str">
        <f>INDEX('Slides+PNGs'!$H:H,MATCH($B143,'Slides+PNGs'!M:M,0))</f>
        <v>N/A</v>
      </c>
      <c r="F143" s="5" t="str">
        <f>INDEX('Slides+PNGs'!$I:I,MATCH($B143,'Slides+PNGs'!M:M,0))</f>
        <v>N/A</v>
      </c>
      <c r="G143" s="5" t="b">
        <f>INDEX('Slides+PNGs'!$L:L,MATCH($B143,'Slides+PNGs'!M:M,0))</f>
        <v>0</v>
      </c>
      <c r="H143" s="5" t="s">
        <v>11</v>
      </c>
      <c r="I143" s="6" t="s">
        <v>377</v>
      </c>
      <c r="J143" s="5" t="s">
        <v>376</v>
      </c>
      <c r="K143" s="6" t="s">
        <v>153</v>
      </c>
    </row>
    <row r="144" spans="1:13" s="6" customFormat="1" ht="144" hidden="1" x14ac:dyDescent="0.3">
      <c r="A144" s="5">
        <v>142</v>
      </c>
      <c r="B144" s="9" t="s">
        <v>307</v>
      </c>
      <c r="C144" s="4" t="b">
        <f>IF(ISERROR(VLOOKUP(B144,'Slides+PNGs'!$M:$M,1,FALSE)),FALSE,TRUE)</f>
        <v>0</v>
      </c>
      <c r="D144" s="5" t="b">
        <v>1</v>
      </c>
      <c r="E144" s="5" t="e">
        <f>INDEX('Slides+PNGs'!$H:H,MATCH($B144,'Slides+PNGs'!M:M,0))</f>
        <v>#N/A</v>
      </c>
      <c r="F144" s="5" t="e">
        <f>INDEX('Slides+PNGs'!$I:I,MATCH($B144,'Slides+PNGs'!M:M,0))</f>
        <v>#N/A</v>
      </c>
      <c r="G144" s="5" t="e">
        <f>INDEX('Slides+PNGs'!$L:L,MATCH($B144,'Slides+PNGs'!M:M,0))</f>
        <v>#N/A</v>
      </c>
      <c r="H144" s="5" t="s">
        <v>11</v>
      </c>
      <c r="I144" s="6" t="s">
        <v>377</v>
      </c>
      <c r="J144" s="5" t="s">
        <v>376</v>
      </c>
      <c r="K144" s="6" t="s">
        <v>153</v>
      </c>
      <c r="M144" s="9" t="s">
        <v>678</v>
      </c>
    </row>
    <row r="145" spans="1:13" s="6" customFormat="1" ht="144" hidden="1" x14ac:dyDescent="0.3">
      <c r="A145" s="5">
        <v>143</v>
      </c>
      <c r="B145" s="9" t="s">
        <v>308</v>
      </c>
      <c r="C145" s="4" t="b">
        <f>IF(ISERROR(VLOOKUP(B145,'Slides+PNGs'!$M:$M,1,FALSE)),FALSE,TRUE)</f>
        <v>0</v>
      </c>
      <c r="D145" s="5" t="b">
        <v>1</v>
      </c>
      <c r="E145" s="5" t="e">
        <f>INDEX('Slides+PNGs'!$H:H,MATCH($B145,'Slides+PNGs'!M:M,0))</f>
        <v>#N/A</v>
      </c>
      <c r="F145" s="5" t="e">
        <f>INDEX('Slides+PNGs'!$I:I,MATCH($B145,'Slides+PNGs'!M:M,0))</f>
        <v>#N/A</v>
      </c>
      <c r="G145" s="5" t="e">
        <f>INDEX('Slides+PNGs'!$L:L,MATCH($B145,'Slides+PNGs'!M:M,0))</f>
        <v>#N/A</v>
      </c>
      <c r="H145" s="5" t="s">
        <v>11</v>
      </c>
      <c r="I145" s="6" t="s">
        <v>377</v>
      </c>
      <c r="J145" s="5" t="s">
        <v>376</v>
      </c>
      <c r="K145" s="6" t="s">
        <v>153</v>
      </c>
      <c r="M145" s="9" t="s">
        <v>678</v>
      </c>
    </row>
    <row r="146" spans="1:13" s="6" customFormat="1" ht="144" hidden="1" x14ac:dyDescent="0.3">
      <c r="A146" s="5">
        <v>144</v>
      </c>
      <c r="B146" s="9" t="s">
        <v>309</v>
      </c>
      <c r="C146" s="4" t="b">
        <f>IF(ISERROR(VLOOKUP(B146,'Slides+PNGs'!$M:$M,1,FALSE)),FALSE,TRUE)</f>
        <v>0</v>
      </c>
      <c r="D146" s="5" t="b">
        <v>1</v>
      </c>
      <c r="E146" s="5" t="e">
        <f>INDEX('Slides+PNGs'!$H:H,MATCH($B146,'Slides+PNGs'!M:M,0))</f>
        <v>#N/A</v>
      </c>
      <c r="F146" s="5" t="e">
        <f>INDEX('Slides+PNGs'!$I:I,MATCH($B146,'Slides+PNGs'!M:M,0))</f>
        <v>#N/A</v>
      </c>
      <c r="G146" s="5" t="e">
        <f>INDEX('Slides+PNGs'!$L:L,MATCH($B146,'Slides+PNGs'!M:M,0))</f>
        <v>#N/A</v>
      </c>
      <c r="H146" s="5" t="s">
        <v>11</v>
      </c>
      <c r="I146" s="6" t="s">
        <v>377</v>
      </c>
      <c r="J146" s="5" t="s">
        <v>376</v>
      </c>
      <c r="K146" s="6" t="s">
        <v>153</v>
      </c>
      <c r="M146" s="9" t="s">
        <v>678</v>
      </c>
    </row>
    <row r="147" spans="1:13" s="6" customFormat="1" ht="144" hidden="1" x14ac:dyDescent="0.3">
      <c r="A147" s="5">
        <v>145</v>
      </c>
      <c r="B147" s="5" t="s">
        <v>310</v>
      </c>
      <c r="C147" s="6" t="b">
        <f>IF(ISERROR(VLOOKUP(B147,'Slides+PNGs'!$M:$M,1,FALSE)),FALSE,TRUE)</f>
        <v>1</v>
      </c>
      <c r="D147" s="5" t="b">
        <v>1</v>
      </c>
      <c r="E147" s="5" t="str">
        <f>INDEX('Slides+PNGs'!$H:H,MATCH($B147,'Slides+PNGs'!M:M,0))</f>
        <v>N/A</v>
      </c>
      <c r="F147" s="5" t="str">
        <f>INDEX('Slides+PNGs'!$I:I,MATCH($B147,'Slides+PNGs'!M:M,0))</f>
        <v>N/A</v>
      </c>
      <c r="G147" s="5" t="b">
        <f>INDEX('Slides+PNGs'!$L:L,MATCH($B147,'Slides+PNGs'!M:M,0))</f>
        <v>0</v>
      </c>
      <c r="H147" s="5" t="s">
        <v>11</v>
      </c>
      <c r="I147" s="6" t="s">
        <v>377</v>
      </c>
      <c r="J147" s="5" t="s">
        <v>376</v>
      </c>
      <c r="K147" s="6" t="s">
        <v>153</v>
      </c>
    </row>
    <row r="148" spans="1:13" s="6" customFormat="1" ht="144" hidden="1" x14ac:dyDescent="0.3">
      <c r="A148" s="5">
        <v>146</v>
      </c>
      <c r="B148" s="9" t="s">
        <v>311</v>
      </c>
      <c r="C148" s="4" t="b">
        <f>IF(ISERROR(VLOOKUP(B148,'Slides+PNGs'!$M:$M,1,FALSE)),FALSE,TRUE)</f>
        <v>0</v>
      </c>
      <c r="D148" s="5" t="b">
        <v>1</v>
      </c>
      <c r="E148" s="5" t="e">
        <f>INDEX('Slides+PNGs'!$H:H,MATCH($B148,'Slides+PNGs'!M:M,0))</f>
        <v>#N/A</v>
      </c>
      <c r="F148" s="5" t="e">
        <f>INDEX('Slides+PNGs'!$I:I,MATCH($B148,'Slides+PNGs'!M:M,0))</f>
        <v>#N/A</v>
      </c>
      <c r="G148" s="5" t="e">
        <f>INDEX('Slides+PNGs'!$L:L,MATCH($B148,'Slides+PNGs'!M:M,0))</f>
        <v>#N/A</v>
      </c>
      <c r="H148" s="5" t="s">
        <v>11</v>
      </c>
      <c r="I148" s="6" t="s">
        <v>377</v>
      </c>
      <c r="J148" s="5" t="s">
        <v>376</v>
      </c>
      <c r="K148" s="6" t="s">
        <v>153</v>
      </c>
      <c r="M148" s="9" t="s">
        <v>678</v>
      </c>
    </row>
    <row r="149" spans="1:13" s="6" customFormat="1" ht="144" hidden="1" x14ac:dyDescent="0.3">
      <c r="A149" s="5">
        <v>147</v>
      </c>
      <c r="B149" s="5" t="s">
        <v>312</v>
      </c>
      <c r="C149" s="6" t="b">
        <f>IF(ISERROR(VLOOKUP(B149,'Slides+PNGs'!$M:$M,1,FALSE)),FALSE,TRUE)</f>
        <v>1</v>
      </c>
      <c r="D149" s="5" t="b">
        <v>1</v>
      </c>
      <c r="E149" s="5" t="str">
        <f>INDEX('Slides+PNGs'!$H:H,MATCH($B149,'Slides+PNGs'!M:M,0))</f>
        <v>N/A</v>
      </c>
      <c r="F149" s="5" t="str">
        <f>INDEX('Slides+PNGs'!$I:I,MATCH($B149,'Slides+PNGs'!M:M,0))</f>
        <v>N/A</v>
      </c>
      <c r="G149" s="5" t="b">
        <f>INDEX('Slides+PNGs'!$L:L,MATCH($B149,'Slides+PNGs'!M:M,0))</f>
        <v>0</v>
      </c>
      <c r="H149" s="5" t="s">
        <v>11</v>
      </c>
      <c r="I149" s="6" t="s">
        <v>377</v>
      </c>
      <c r="J149" s="5" t="s">
        <v>376</v>
      </c>
      <c r="K149" s="6" t="s">
        <v>153</v>
      </c>
    </row>
    <row r="150" spans="1:13" s="6" customFormat="1" ht="144" hidden="1" x14ac:dyDescent="0.3">
      <c r="A150" s="5">
        <v>148</v>
      </c>
      <c r="B150" s="5" t="s">
        <v>313</v>
      </c>
      <c r="C150" s="6" t="b">
        <f>IF(ISERROR(VLOOKUP(B150,'Slides+PNGs'!$M:$M,1,FALSE)),FALSE,TRUE)</f>
        <v>1</v>
      </c>
      <c r="D150" s="5" t="b">
        <v>1</v>
      </c>
      <c r="E150" s="5" t="str">
        <f>INDEX('Slides+PNGs'!$H:H,MATCH($B150,'Slides+PNGs'!M:M,0))</f>
        <v>N/A</v>
      </c>
      <c r="F150" s="5" t="str">
        <f>INDEX('Slides+PNGs'!$I:I,MATCH($B150,'Slides+PNGs'!M:M,0))</f>
        <v>N/A</v>
      </c>
      <c r="G150" s="5" t="b">
        <f>INDEX('Slides+PNGs'!$L:L,MATCH($B150,'Slides+PNGs'!M:M,0))</f>
        <v>0</v>
      </c>
      <c r="H150" s="5" t="s">
        <v>11</v>
      </c>
      <c r="I150" s="6" t="s">
        <v>377</v>
      </c>
      <c r="J150" s="5" t="s">
        <v>376</v>
      </c>
      <c r="K150" s="6" t="s">
        <v>153</v>
      </c>
    </row>
    <row r="151" spans="1:13" s="6" customFormat="1" ht="144" hidden="1" x14ac:dyDescent="0.3">
      <c r="A151" s="5">
        <v>149</v>
      </c>
      <c r="B151" s="5" t="s">
        <v>314</v>
      </c>
      <c r="C151" s="6" t="b">
        <f>IF(ISERROR(VLOOKUP(B151,'Slides+PNGs'!$M:$M,1,FALSE)),FALSE,TRUE)</f>
        <v>1</v>
      </c>
      <c r="D151" s="5" t="b">
        <v>1</v>
      </c>
      <c r="E151" s="5" t="str">
        <f>INDEX('Slides+PNGs'!$H:H,MATCH($B151,'Slides+PNGs'!M:M,0))</f>
        <v>N/A</v>
      </c>
      <c r="F151" s="5" t="str">
        <f>INDEX('Slides+PNGs'!$I:I,MATCH($B151,'Slides+PNGs'!M:M,0))</f>
        <v>N/A</v>
      </c>
      <c r="G151" s="5" t="b">
        <f>INDEX('Slides+PNGs'!$L:L,MATCH($B151,'Slides+PNGs'!M:M,0))</f>
        <v>0</v>
      </c>
      <c r="H151" s="5" t="s">
        <v>11</v>
      </c>
      <c r="I151" s="6" t="s">
        <v>377</v>
      </c>
      <c r="J151" s="5" t="s">
        <v>376</v>
      </c>
      <c r="K151" s="6" t="s">
        <v>153</v>
      </c>
    </row>
    <row r="152" spans="1:13" s="6" customFormat="1" ht="144" hidden="1" x14ac:dyDescent="0.3">
      <c r="A152" s="5">
        <v>150</v>
      </c>
      <c r="B152" s="5" t="s">
        <v>315</v>
      </c>
      <c r="C152" s="6" t="b">
        <f>IF(ISERROR(VLOOKUP(B152,'Slides+PNGs'!$M:$M,1,FALSE)),FALSE,TRUE)</f>
        <v>1</v>
      </c>
      <c r="D152" s="5" t="b">
        <v>1</v>
      </c>
      <c r="E152" s="5" t="str">
        <f>INDEX('Slides+PNGs'!$H:H,MATCH($B152,'Slides+PNGs'!M:M,0))</f>
        <v>N/A</v>
      </c>
      <c r="F152" s="5" t="str">
        <f>INDEX('Slides+PNGs'!$I:I,MATCH($B152,'Slides+PNGs'!M:M,0))</f>
        <v>N/A</v>
      </c>
      <c r="G152" s="5" t="b">
        <f>INDEX('Slides+PNGs'!$L:L,MATCH($B152,'Slides+PNGs'!M:M,0))</f>
        <v>0</v>
      </c>
      <c r="H152" s="5" t="s">
        <v>11</v>
      </c>
      <c r="I152" s="6" t="s">
        <v>377</v>
      </c>
      <c r="J152" s="5" t="s">
        <v>376</v>
      </c>
      <c r="K152" s="6" t="s">
        <v>153</v>
      </c>
    </row>
    <row r="153" spans="1:13" s="6" customFormat="1" ht="144" hidden="1" x14ac:dyDescent="0.3">
      <c r="A153" s="5">
        <v>151</v>
      </c>
      <c r="B153" s="5" t="s">
        <v>316</v>
      </c>
      <c r="C153" s="6" t="b">
        <f>IF(ISERROR(VLOOKUP(B153,'Slides+PNGs'!$M:$M,1,FALSE)),FALSE,TRUE)</f>
        <v>1</v>
      </c>
      <c r="D153" s="5" t="b">
        <v>1</v>
      </c>
      <c r="E153" s="5" t="str">
        <f>INDEX('Slides+PNGs'!$H:H,MATCH($B153,'Slides+PNGs'!M:M,0))</f>
        <v>N/A</v>
      </c>
      <c r="F153" s="5" t="str">
        <f>INDEX('Slides+PNGs'!$I:I,MATCH($B153,'Slides+PNGs'!M:M,0))</f>
        <v>N/A</v>
      </c>
      <c r="G153" s="5" t="b">
        <f>INDEX('Slides+PNGs'!$L:L,MATCH($B153,'Slides+PNGs'!M:M,0))</f>
        <v>0</v>
      </c>
      <c r="H153" s="5" t="s">
        <v>11</v>
      </c>
      <c r="I153" s="6" t="s">
        <v>377</v>
      </c>
      <c r="J153" s="5" t="s">
        <v>376</v>
      </c>
      <c r="K153" s="6" t="s">
        <v>153</v>
      </c>
    </row>
    <row r="154" spans="1:13" s="6" customFormat="1" ht="144" hidden="1" x14ac:dyDescent="0.3">
      <c r="A154" s="5">
        <v>152</v>
      </c>
      <c r="B154" s="5" t="s">
        <v>317</v>
      </c>
      <c r="C154" s="6" t="b">
        <f>IF(ISERROR(VLOOKUP(B154,'Slides+PNGs'!$M:$M,1,FALSE)),FALSE,TRUE)</f>
        <v>1</v>
      </c>
      <c r="D154" s="5" t="b">
        <v>1</v>
      </c>
      <c r="E154" s="5" t="str">
        <f>INDEX('Slides+PNGs'!$H:H,MATCH($B154,'Slides+PNGs'!M:M,0))</f>
        <v>N/A</v>
      </c>
      <c r="F154" s="5" t="str">
        <f>INDEX('Slides+PNGs'!$I:I,MATCH($B154,'Slides+PNGs'!M:M,0))</f>
        <v>N/A</v>
      </c>
      <c r="G154" s="5" t="b">
        <f>INDEX('Slides+PNGs'!$L:L,MATCH($B154,'Slides+PNGs'!M:M,0))</f>
        <v>0</v>
      </c>
      <c r="H154" s="5" t="s">
        <v>11</v>
      </c>
      <c r="I154" s="6" t="s">
        <v>377</v>
      </c>
      <c r="J154" s="5" t="s">
        <v>376</v>
      </c>
      <c r="K154" s="6" t="s">
        <v>153</v>
      </c>
    </row>
    <row r="155" spans="1:13" s="6" customFormat="1" hidden="1" x14ac:dyDescent="0.3">
      <c r="A155" s="5">
        <v>153</v>
      </c>
      <c r="B155" s="9" t="s">
        <v>318</v>
      </c>
      <c r="C155" s="4" t="b">
        <f>IF(ISERROR(VLOOKUP(B155,'Slides+PNGs'!$M:$M,1,FALSE)),FALSE,TRUE)</f>
        <v>0</v>
      </c>
      <c r="D155" s="5" t="b">
        <v>1</v>
      </c>
      <c r="E155" s="5" t="e">
        <f>INDEX('Slides+PNGs'!$H:H,MATCH($B155,'Slides+PNGs'!M:M,0))</f>
        <v>#N/A</v>
      </c>
      <c r="F155" s="5" t="e">
        <f>INDEX('Slides+PNGs'!$I:I,MATCH($B155,'Slides+PNGs'!M:M,0))</f>
        <v>#N/A</v>
      </c>
      <c r="G155" s="5" t="e">
        <f>INDEX('Slides+PNGs'!$L:L,MATCH($B155,'Slides+PNGs'!M:M,0))</f>
        <v>#N/A</v>
      </c>
      <c r="H155" s="5" t="s">
        <v>11</v>
      </c>
      <c r="I155" s="6" t="s">
        <v>378</v>
      </c>
      <c r="J155" s="5" t="s">
        <v>156</v>
      </c>
      <c r="M155" s="9" t="s">
        <v>678</v>
      </c>
    </row>
    <row r="156" spans="1:13" s="6" customFormat="1" ht="28.8" hidden="1" x14ac:dyDescent="0.3">
      <c r="A156" s="5">
        <v>154</v>
      </c>
      <c r="B156" s="9" t="s">
        <v>319</v>
      </c>
      <c r="C156" s="4" t="b">
        <f>IF(ISERROR(VLOOKUP(B156,'Slides+PNGs'!$M:$M,1,FALSE)),FALSE,TRUE)</f>
        <v>0</v>
      </c>
      <c r="D156" s="5" t="b">
        <v>1</v>
      </c>
      <c r="E156" s="5" t="e">
        <f>INDEX('Slides+PNGs'!$H:H,MATCH($B156,'Slides+PNGs'!M:M,0))</f>
        <v>#N/A</v>
      </c>
      <c r="F156" s="5" t="e">
        <f>INDEX('Slides+PNGs'!$I:I,MATCH($B156,'Slides+PNGs'!M:M,0))</f>
        <v>#N/A</v>
      </c>
      <c r="G156" s="5" t="e">
        <f>INDEX('Slides+PNGs'!$L:L,MATCH($B156,'Slides+PNGs'!M:M,0))</f>
        <v>#N/A</v>
      </c>
      <c r="H156" s="5" t="s">
        <v>11</v>
      </c>
      <c r="I156" s="6" t="s">
        <v>378</v>
      </c>
      <c r="J156" s="5" t="s">
        <v>156</v>
      </c>
      <c r="M156" s="9" t="s">
        <v>678</v>
      </c>
    </row>
    <row r="157" spans="1:13" s="6" customFormat="1" hidden="1" x14ac:dyDescent="0.3">
      <c r="A157" s="5">
        <v>155</v>
      </c>
      <c r="B157" s="5" t="s">
        <v>320</v>
      </c>
      <c r="C157" s="6" t="b">
        <f>IF(ISERROR(VLOOKUP(B157,'Slides+PNGs'!$M:$M,1,FALSE)),FALSE,TRUE)</f>
        <v>1</v>
      </c>
      <c r="D157" s="5" t="b">
        <v>1</v>
      </c>
      <c r="E157" s="5" t="str">
        <f>INDEX('Slides+PNGs'!$H:H,MATCH($B157,'Slides+PNGs'!M:M,0))</f>
        <v>N/A</v>
      </c>
      <c r="F157" s="5" t="str">
        <f>INDEX('Slides+PNGs'!$I:I,MATCH($B157,'Slides+PNGs'!M:M,0))</f>
        <v>N/A</v>
      </c>
      <c r="G157" s="5" t="b">
        <f>INDEX('Slides+PNGs'!$L:L,MATCH($B157,'Slides+PNGs'!M:M,0))</f>
        <v>0</v>
      </c>
      <c r="H157" s="5" t="s">
        <v>11</v>
      </c>
      <c r="I157" s="6" t="s">
        <v>378</v>
      </c>
      <c r="J157" s="5" t="s">
        <v>156</v>
      </c>
    </row>
    <row r="158" spans="1:13" s="6" customFormat="1" hidden="1" x14ac:dyDescent="0.3">
      <c r="A158" s="5">
        <v>156</v>
      </c>
      <c r="B158" s="9" t="s">
        <v>321</v>
      </c>
      <c r="C158" s="4" t="b">
        <f>IF(ISERROR(VLOOKUP(B158,'Slides+PNGs'!$M:$M,1,FALSE)),FALSE,TRUE)</f>
        <v>0</v>
      </c>
      <c r="D158" s="5" t="b">
        <v>1</v>
      </c>
      <c r="E158" s="5" t="e">
        <f>INDEX('Slides+PNGs'!$H:H,MATCH($B158,'Slides+PNGs'!M:M,0))</f>
        <v>#N/A</v>
      </c>
      <c r="F158" s="5" t="e">
        <f>INDEX('Slides+PNGs'!$I:I,MATCH($B158,'Slides+PNGs'!M:M,0))</f>
        <v>#N/A</v>
      </c>
      <c r="G158" s="5" t="e">
        <f>INDEX('Slides+PNGs'!$L:L,MATCH($B158,'Slides+PNGs'!M:M,0))</f>
        <v>#N/A</v>
      </c>
      <c r="H158" s="5" t="s">
        <v>11</v>
      </c>
      <c r="I158" s="6" t="s">
        <v>378</v>
      </c>
      <c r="J158" s="5" t="s">
        <v>156</v>
      </c>
      <c r="M158" s="9" t="s">
        <v>678</v>
      </c>
    </row>
    <row r="159" spans="1:13" s="6" customFormat="1" ht="28.8" hidden="1" x14ac:dyDescent="0.3">
      <c r="A159" s="5">
        <v>157</v>
      </c>
      <c r="B159" s="5" t="s">
        <v>322</v>
      </c>
      <c r="C159" s="6" t="b">
        <f>IF(ISERROR(VLOOKUP(B159,'Slides+PNGs'!$M:$M,1,FALSE)),FALSE,TRUE)</f>
        <v>1</v>
      </c>
      <c r="D159" s="5" t="b">
        <v>1</v>
      </c>
      <c r="E159" s="5" t="str">
        <f>INDEX('Slides+PNGs'!$H:H,MATCH($B159,'Slides+PNGs'!M:M,0))</f>
        <v>N/A</v>
      </c>
      <c r="F159" s="5" t="str">
        <f>INDEX('Slides+PNGs'!$I:I,MATCH($B159,'Slides+PNGs'!M:M,0))</f>
        <v>N/A</v>
      </c>
      <c r="G159" s="5" t="b">
        <f>INDEX('Slides+PNGs'!$L:L,MATCH($B159,'Slides+PNGs'!M:M,0))</f>
        <v>0</v>
      </c>
      <c r="H159" s="5" t="s">
        <v>11</v>
      </c>
      <c r="I159" s="6" t="s">
        <v>378</v>
      </c>
      <c r="J159" s="5" t="s">
        <v>156</v>
      </c>
    </row>
    <row r="160" spans="1:13" s="6" customFormat="1" hidden="1" x14ac:dyDescent="0.3">
      <c r="A160" s="5">
        <v>158</v>
      </c>
      <c r="B160" s="5" t="s">
        <v>323</v>
      </c>
      <c r="C160" s="6" t="b">
        <f>IF(ISERROR(VLOOKUP(B160,'Slides+PNGs'!$M:$M,1,FALSE)),FALSE,TRUE)</f>
        <v>1</v>
      </c>
      <c r="D160" s="5" t="b">
        <v>1</v>
      </c>
      <c r="E160" s="5" t="str">
        <f>INDEX('Slides+PNGs'!$H:H,MATCH($B160,'Slides+PNGs'!M:M,0))</f>
        <v>N/A</v>
      </c>
      <c r="F160" s="5" t="str">
        <f>INDEX('Slides+PNGs'!$I:I,MATCH($B160,'Slides+PNGs'!M:M,0))</f>
        <v>N/A</v>
      </c>
      <c r="G160" s="5" t="b">
        <f>INDEX('Slides+PNGs'!$L:L,MATCH($B160,'Slides+PNGs'!M:M,0))</f>
        <v>0</v>
      </c>
      <c r="H160" s="5" t="s">
        <v>11</v>
      </c>
      <c r="I160" s="6" t="s">
        <v>378</v>
      </c>
      <c r="J160" s="5" t="s">
        <v>156</v>
      </c>
    </row>
    <row r="161" spans="1:13" s="6" customFormat="1" ht="115.2" hidden="1" x14ac:dyDescent="0.3">
      <c r="A161" s="5">
        <v>159</v>
      </c>
      <c r="B161" s="9" t="s">
        <v>324</v>
      </c>
      <c r="C161" s="4" t="b">
        <f>IF(ISERROR(VLOOKUP(B161,'Slides+PNGs'!$M:$M,1,FALSE)),FALSE,TRUE)</f>
        <v>0</v>
      </c>
      <c r="D161" s="5" t="b">
        <v>1</v>
      </c>
      <c r="E161" s="5" t="e">
        <f>INDEX('Slides+PNGs'!$H:H,MATCH($B161,'Slides+PNGs'!M:M,0))</f>
        <v>#N/A</v>
      </c>
      <c r="F161" s="5" t="e">
        <f>INDEX('Slides+PNGs'!$I:I,MATCH($B161,'Slides+PNGs'!M:M,0))</f>
        <v>#N/A</v>
      </c>
      <c r="G161" s="5" t="e">
        <f>INDEX('Slides+PNGs'!$L:L,MATCH($B161,'Slides+PNGs'!M:M,0))</f>
        <v>#N/A</v>
      </c>
      <c r="H161" s="5" t="s">
        <v>11</v>
      </c>
      <c r="I161" s="6" t="s">
        <v>380</v>
      </c>
      <c r="J161" s="5" t="s">
        <v>157</v>
      </c>
      <c r="M161" s="9" t="s">
        <v>678</v>
      </c>
    </row>
    <row r="162" spans="1:13" s="6" customFormat="1" ht="115.2" hidden="1" x14ac:dyDescent="0.3">
      <c r="A162" s="5">
        <v>160</v>
      </c>
      <c r="B162" s="9" t="s">
        <v>325</v>
      </c>
      <c r="C162" s="4" t="b">
        <f>IF(ISERROR(VLOOKUP(B162,'Slides+PNGs'!$M:$M,1,FALSE)),FALSE,TRUE)</f>
        <v>0</v>
      </c>
      <c r="D162" s="5" t="b">
        <v>1</v>
      </c>
      <c r="E162" s="5" t="e">
        <f>INDEX('Slides+PNGs'!$H:H,MATCH($B162,'Slides+PNGs'!M:M,0))</f>
        <v>#N/A</v>
      </c>
      <c r="F162" s="5" t="e">
        <f>INDEX('Slides+PNGs'!$I:I,MATCH($B162,'Slides+PNGs'!M:M,0))</f>
        <v>#N/A</v>
      </c>
      <c r="G162" s="5" t="e">
        <f>INDEX('Slides+PNGs'!$L:L,MATCH($B162,'Slides+PNGs'!M:M,0))</f>
        <v>#N/A</v>
      </c>
      <c r="H162" s="5" t="s">
        <v>11</v>
      </c>
      <c r="I162" s="6" t="s">
        <v>380</v>
      </c>
      <c r="J162" s="5" t="s">
        <v>157</v>
      </c>
      <c r="M162" s="9" t="s">
        <v>678</v>
      </c>
    </row>
    <row r="163" spans="1:13" s="6" customFormat="1" ht="115.2" hidden="1" x14ac:dyDescent="0.3">
      <c r="A163" s="5">
        <v>161</v>
      </c>
      <c r="B163" s="5" t="s">
        <v>326</v>
      </c>
      <c r="C163" s="6" t="b">
        <f>IF(ISERROR(VLOOKUP(B163,'Slides+PNGs'!$M:$M,1,FALSE)),FALSE,TRUE)</f>
        <v>1</v>
      </c>
      <c r="D163" s="5" t="b">
        <v>1</v>
      </c>
      <c r="E163" s="5" t="str">
        <f>INDEX('Slides+PNGs'!$H:H,MATCH($B163,'Slides+PNGs'!M:M,0))</f>
        <v>N/A</v>
      </c>
      <c r="F163" s="5" t="b">
        <f>INDEX('Slides+PNGs'!$I:I,MATCH($B163,'Slides+PNGs'!M:M,0))</f>
        <v>0</v>
      </c>
      <c r="G163" s="5" t="b">
        <f>INDEX('Slides+PNGs'!$L:L,MATCH($B163,'Slides+PNGs'!M:M,0))</f>
        <v>0</v>
      </c>
      <c r="H163" s="5" t="s">
        <v>11</v>
      </c>
      <c r="I163" s="6" t="s">
        <v>380</v>
      </c>
      <c r="J163" s="5" t="s">
        <v>157</v>
      </c>
    </row>
    <row r="164" spans="1:13" s="6" customFormat="1" ht="115.2" hidden="1" x14ac:dyDescent="0.3">
      <c r="A164" s="5">
        <v>162</v>
      </c>
      <c r="B164" s="9" t="s">
        <v>327</v>
      </c>
      <c r="C164" s="4" t="b">
        <f>IF(ISERROR(VLOOKUP(B164,'Slides+PNGs'!$M:$M,1,FALSE)),FALSE,TRUE)</f>
        <v>0</v>
      </c>
      <c r="D164" s="5" t="b">
        <v>1</v>
      </c>
      <c r="E164" s="5" t="e">
        <f>INDEX('Slides+PNGs'!$H:H,MATCH($B164,'Slides+PNGs'!M:M,0))</f>
        <v>#N/A</v>
      </c>
      <c r="F164" s="5" t="e">
        <f>INDEX('Slides+PNGs'!$I:I,MATCH($B164,'Slides+PNGs'!M:M,0))</f>
        <v>#N/A</v>
      </c>
      <c r="G164" s="5" t="e">
        <f>INDEX('Slides+PNGs'!$L:L,MATCH($B164,'Slides+PNGs'!M:M,0))</f>
        <v>#N/A</v>
      </c>
      <c r="H164" s="5" t="s">
        <v>11</v>
      </c>
      <c r="I164" s="6" t="s">
        <v>380</v>
      </c>
      <c r="J164" s="5" t="s">
        <v>157</v>
      </c>
      <c r="M164" s="9" t="s">
        <v>678</v>
      </c>
    </row>
    <row r="165" spans="1:13" s="6" customFormat="1" ht="115.2" hidden="1" x14ac:dyDescent="0.3">
      <c r="A165" s="5">
        <v>163</v>
      </c>
      <c r="B165" s="9" t="s">
        <v>328</v>
      </c>
      <c r="C165" s="4" t="b">
        <f>IF(ISERROR(VLOOKUP(B165,'Slides+PNGs'!$M:$M,1,FALSE)),FALSE,TRUE)</f>
        <v>0</v>
      </c>
      <c r="D165" s="5" t="b">
        <v>1</v>
      </c>
      <c r="E165" s="5" t="e">
        <f>INDEX('Slides+PNGs'!$H:H,MATCH($B165,'Slides+PNGs'!M:M,0))</f>
        <v>#N/A</v>
      </c>
      <c r="F165" s="5" t="e">
        <f>INDEX('Slides+PNGs'!$I:I,MATCH($B165,'Slides+PNGs'!M:M,0))</f>
        <v>#N/A</v>
      </c>
      <c r="G165" s="5" t="e">
        <f>INDEX('Slides+PNGs'!$L:L,MATCH($B165,'Slides+PNGs'!M:M,0))</f>
        <v>#N/A</v>
      </c>
      <c r="H165" s="5" t="s">
        <v>11</v>
      </c>
      <c r="I165" s="6" t="s">
        <v>380</v>
      </c>
      <c r="J165" s="5" t="s">
        <v>157</v>
      </c>
      <c r="M165" s="9" t="s">
        <v>678</v>
      </c>
    </row>
    <row r="166" spans="1:13" s="6" customFormat="1" ht="115.2" hidden="1" x14ac:dyDescent="0.3">
      <c r="A166" s="5">
        <v>164</v>
      </c>
      <c r="B166" s="5" t="s">
        <v>329</v>
      </c>
      <c r="C166" s="6" t="b">
        <f>IF(ISERROR(VLOOKUP(B166,'Slides+PNGs'!$M:$M,1,FALSE)),FALSE,TRUE)</f>
        <v>1</v>
      </c>
      <c r="D166" s="5" t="b">
        <v>1</v>
      </c>
      <c r="E166" s="5" t="str">
        <f>INDEX('Slides+PNGs'!$H:H,MATCH($B166,'Slides+PNGs'!M:M,0))</f>
        <v>N/A</v>
      </c>
      <c r="F166" s="5" t="b">
        <f>INDEX('Slides+PNGs'!$I:I,MATCH($B166,'Slides+PNGs'!M:M,0))</f>
        <v>0</v>
      </c>
      <c r="G166" s="5" t="b">
        <f>INDEX('Slides+PNGs'!$L:L,MATCH($B166,'Slides+PNGs'!M:M,0))</f>
        <v>0</v>
      </c>
      <c r="H166" s="5" t="s">
        <v>11</v>
      </c>
      <c r="I166" s="6" t="s">
        <v>380</v>
      </c>
      <c r="J166" s="5" t="s">
        <v>157</v>
      </c>
    </row>
    <row r="167" spans="1:13" s="6" customFormat="1" ht="115.2" hidden="1" x14ac:dyDescent="0.3">
      <c r="A167" s="5">
        <v>165</v>
      </c>
      <c r="B167" s="9" t="s">
        <v>330</v>
      </c>
      <c r="C167" s="4" t="b">
        <f>IF(ISERROR(VLOOKUP(B167,'Slides+PNGs'!$M:$M,1,FALSE)),FALSE,TRUE)</f>
        <v>0</v>
      </c>
      <c r="D167" s="5" t="b">
        <v>1</v>
      </c>
      <c r="E167" s="5" t="e">
        <f>INDEX('Slides+PNGs'!$H:H,MATCH($B167,'Slides+PNGs'!M:M,0))</f>
        <v>#N/A</v>
      </c>
      <c r="F167" s="5" t="e">
        <f>INDEX('Slides+PNGs'!$I:I,MATCH($B167,'Slides+PNGs'!M:M,0))</f>
        <v>#N/A</v>
      </c>
      <c r="G167" s="5" t="e">
        <f>INDEX('Slides+PNGs'!$L:L,MATCH($B167,'Slides+PNGs'!M:M,0))</f>
        <v>#N/A</v>
      </c>
      <c r="H167" s="5" t="s">
        <v>11</v>
      </c>
      <c r="I167" s="6" t="s">
        <v>380</v>
      </c>
      <c r="J167" s="5" t="s">
        <v>157</v>
      </c>
      <c r="M167" s="9" t="s">
        <v>678</v>
      </c>
    </row>
    <row r="168" spans="1:13" s="6" customFormat="1" ht="43.2" hidden="1" x14ac:dyDescent="0.3">
      <c r="A168" s="5">
        <v>166</v>
      </c>
      <c r="B168" s="9" t="s">
        <v>331</v>
      </c>
      <c r="C168" s="4" t="b">
        <f>IF(ISERROR(VLOOKUP(B168,'Slides+PNGs'!$M:$M,1,FALSE)),FALSE,TRUE)</f>
        <v>0</v>
      </c>
      <c r="D168" s="5" t="b">
        <v>1</v>
      </c>
      <c r="E168" s="5" t="e">
        <f>INDEX('Slides+PNGs'!$H:H,MATCH($B168,'Slides+PNGs'!M:M,0))</f>
        <v>#N/A</v>
      </c>
      <c r="F168" s="5" t="e">
        <f>INDEX('Slides+PNGs'!$I:I,MATCH($B168,'Slides+PNGs'!M:M,0))</f>
        <v>#N/A</v>
      </c>
      <c r="G168" s="5" t="e">
        <f>INDEX('Slides+PNGs'!$L:L,MATCH($B168,'Slides+PNGs'!M:M,0))</f>
        <v>#N/A</v>
      </c>
      <c r="H168" s="5" t="s">
        <v>11</v>
      </c>
      <c r="I168" s="6" t="s">
        <v>381</v>
      </c>
      <c r="J168" s="2" t="s">
        <v>158</v>
      </c>
      <c r="M168" s="9" t="s">
        <v>678</v>
      </c>
    </row>
    <row r="169" spans="1:13" s="6" customFormat="1" ht="43.2" hidden="1" x14ac:dyDescent="0.3">
      <c r="A169" s="5">
        <v>167</v>
      </c>
      <c r="B169" s="5" t="s">
        <v>332</v>
      </c>
      <c r="C169" s="6" t="b">
        <f>IF(ISERROR(VLOOKUP(B169,'Slides+PNGs'!$M:$M,1,FALSE)),FALSE,TRUE)</f>
        <v>1</v>
      </c>
      <c r="D169" s="5" t="b">
        <v>1</v>
      </c>
      <c r="E169" s="5" t="str">
        <f>INDEX('Slides+PNGs'!$H:H,MATCH($B169,'Slides+PNGs'!M:M,0))</f>
        <v>N/A</v>
      </c>
      <c r="F169" s="5" t="b">
        <f>INDEX('Slides+PNGs'!$I:I,MATCH($B169,'Slides+PNGs'!M:M,0))</f>
        <v>0</v>
      </c>
      <c r="G169" s="5" t="b">
        <f>INDEX('Slides+PNGs'!$L:L,MATCH($B169,'Slides+PNGs'!M:M,0))</f>
        <v>0</v>
      </c>
      <c r="H169" s="5" t="s">
        <v>11</v>
      </c>
      <c r="I169" s="6" t="s">
        <v>381</v>
      </c>
      <c r="J169" s="2" t="s">
        <v>158</v>
      </c>
    </row>
    <row r="170" spans="1:13" s="6" customFormat="1" ht="43.2" hidden="1" x14ac:dyDescent="0.3">
      <c r="A170" s="5">
        <v>168</v>
      </c>
      <c r="B170" s="5" t="s">
        <v>333</v>
      </c>
      <c r="C170" s="6" t="b">
        <f>IF(ISERROR(VLOOKUP(B170,'Slides+PNGs'!$M:$M,1,FALSE)),FALSE,TRUE)</f>
        <v>1</v>
      </c>
      <c r="D170" s="5" t="b">
        <v>1</v>
      </c>
      <c r="E170" s="5" t="str">
        <f>INDEX('Slides+PNGs'!$H:H,MATCH($B170,'Slides+PNGs'!M:M,0))</f>
        <v>N/A</v>
      </c>
      <c r="F170" s="5" t="b">
        <f>INDEX('Slides+PNGs'!$I:I,MATCH($B170,'Slides+PNGs'!M:M,0))</f>
        <v>0</v>
      </c>
      <c r="G170" s="5" t="b">
        <f>INDEX('Slides+PNGs'!$L:L,MATCH($B170,'Slides+PNGs'!M:M,0))</f>
        <v>0</v>
      </c>
      <c r="H170" s="5" t="s">
        <v>11</v>
      </c>
      <c r="I170" s="6" t="s">
        <v>381</v>
      </c>
      <c r="J170" s="2" t="s">
        <v>158</v>
      </c>
    </row>
    <row r="171" spans="1:13" s="6" customFormat="1" hidden="1" x14ac:dyDescent="0.3">
      <c r="A171" s="5">
        <v>169</v>
      </c>
      <c r="B171" s="5" t="s">
        <v>21</v>
      </c>
      <c r="C171" s="6" t="b">
        <f>IF(ISERROR(VLOOKUP(B171,'Slides+PNGs'!$M:$M,1,FALSE)),FALSE,TRUE)</f>
        <v>1</v>
      </c>
      <c r="D171" s="5" t="b">
        <v>1</v>
      </c>
      <c r="E171" s="5" t="str">
        <f>INDEX('Slides+PNGs'!$H:H,MATCH($B171,'Slides+PNGs'!M:M,0))</f>
        <v>Dodged</v>
      </c>
      <c r="F171" s="5" t="str">
        <f>INDEX('Slides+PNGs'!$I:I,MATCH($B171,'Slides+PNGs'!M:M,0))</f>
        <v>N/A</v>
      </c>
      <c r="G171" s="5">
        <f>INDEX('Slides+PNGs'!$L:L,MATCH($B171,'Slides+PNGs'!M:M,0))</f>
        <v>0</v>
      </c>
      <c r="H171" s="5" t="s">
        <v>11</v>
      </c>
      <c r="I171" s="6" t="s">
        <v>382</v>
      </c>
      <c r="J171" s="6" t="s">
        <v>35</v>
      </c>
    </row>
    <row r="172" spans="1:13" s="6" customFormat="1" hidden="1" x14ac:dyDescent="0.3">
      <c r="A172" s="5">
        <v>170</v>
      </c>
      <c r="B172" s="5" t="s">
        <v>22</v>
      </c>
      <c r="C172" s="6" t="b">
        <f>IF(ISERROR(VLOOKUP(B172,'Slides+PNGs'!$M:$M,1,FALSE)),FALSE,TRUE)</f>
        <v>1</v>
      </c>
      <c r="D172" s="5" t="b">
        <v>1</v>
      </c>
      <c r="E172" s="5" t="str">
        <f>INDEX('Slides+PNGs'!$H:H,MATCH($B172,'Slides+PNGs'!M:M,0))</f>
        <v>Dodged</v>
      </c>
      <c r="F172" s="5" t="str">
        <f>INDEX('Slides+PNGs'!$I:I,MATCH($B172,'Slides+PNGs'!M:M,0))</f>
        <v>N/A</v>
      </c>
      <c r="G172" s="5">
        <f>INDEX('Slides+PNGs'!$L:L,MATCH($B172,'Slides+PNGs'!M:M,0))</f>
        <v>0</v>
      </c>
      <c r="H172" s="5" t="s">
        <v>11</v>
      </c>
      <c r="I172" s="6" t="s">
        <v>382</v>
      </c>
      <c r="J172" s="6" t="s">
        <v>35</v>
      </c>
    </row>
    <row r="173" spans="1:13" s="6" customFormat="1" hidden="1" x14ac:dyDescent="0.3">
      <c r="A173" s="5">
        <v>171</v>
      </c>
      <c r="B173" s="5" t="s">
        <v>164</v>
      </c>
      <c r="C173" s="6" t="b">
        <f>IF(ISERROR(VLOOKUP(B173,'Slides+PNGs'!$M:$M,1,FALSE)),FALSE,TRUE)</f>
        <v>1</v>
      </c>
      <c r="D173" s="5" t="b">
        <v>1</v>
      </c>
      <c r="E173" s="5" t="str">
        <f>INDEX('Slides+PNGs'!$H:H,MATCH($B173,'Slides+PNGs'!M:M,0))</f>
        <v>N/A</v>
      </c>
      <c r="F173" s="5" t="b">
        <f>INDEX('Slides+PNGs'!$I:I,MATCH($B173,'Slides+PNGs'!M:M,0))</f>
        <v>1</v>
      </c>
      <c r="G173" s="5" t="b">
        <f>INDEX('Slides+PNGs'!$L:L,MATCH($B173,'Slides+PNGs'!M:M,0))</f>
        <v>0</v>
      </c>
      <c r="H173" s="5" t="s">
        <v>11</v>
      </c>
      <c r="I173" s="6" t="s">
        <v>383</v>
      </c>
      <c r="J173" s="6" t="s">
        <v>90</v>
      </c>
    </row>
    <row r="174" spans="1:13" s="6" customFormat="1" hidden="1" x14ac:dyDescent="0.3">
      <c r="A174" s="5">
        <v>172</v>
      </c>
      <c r="B174" s="5" t="s">
        <v>165</v>
      </c>
      <c r="C174" s="6" t="b">
        <f>IF(ISERROR(VLOOKUP(B174,'Slides+PNGs'!$M:$M,1,FALSE)),FALSE,TRUE)</f>
        <v>1</v>
      </c>
      <c r="D174" s="5" t="b">
        <v>1</v>
      </c>
      <c r="E174" s="5" t="str">
        <f>INDEX('Slides+PNGs'!$H:H,MATCH($B174,'Slides+PNGs'!M:M,0))</f>
        <v>N/A</v>
      </c>
      <c r="F174" s="5" t="b">
        <f>INDEX('Slides+PNGs'!$I:I,MATCH($B174,'Slides+PNGs'!M:M,0))</f>
        <v>1</v>
      </c>
      <c r="G174" s="5" t="b">
        <f>INDEX('Slides+PNGs'!$L:L,MATCH($B174,'Slides+PNGs'!M:M,0))</f>
        <v>0</v>
      </c>
      <c r="H174" s="5" t="s">
        <v>11</v>
      </c>
      <c r="I174" s="6" t="s">
        <v>383</v>
      </c>
      <c r="J174" s="6" t="s">
        <v>86</v>
      </c>
    </row>
    <row r="175" spans="1:13" s="6" customFormat="1" hidden="1" x14ac:dyDescent="0.3">
      <c r="A175" s="5">
        <v>173</v>
      </c>
      <c r="B175" s="5" t="s">
        <v>334</v>
      </c>
      <c r="C175" s="6" t="b">
        <f>IF(ISERROR(VLOOKUP(B175,'Slides+PNGs'!$M:$M,1,FALSE)),FALSE,TRUE)</f>
        <v>1</v>
      </c>
      <c r="D175" s="5" t="b">
        <v>1</v>
      </c>
      <c r="E175" s="5" t="str">
        <f>INDEX('Slides+PNGs'!$H:H,MATCH($B175,'Slides+PNGs'!M:M,0))</f>
        <v>N/A</v>
      </c>
      <c r="F175" s="5" t="b">
        <f>INDEX('Slides+PNGs'!$I:I,MATCH($B175,'Slides+PNGs'!M:M,0))</f>
        <v>1</v>
      </c>
      <c r="G175" s="5" t="b">
        <f>INDEX('Slides+PNGs'!$L:L,MATCH($B175,'Slides+PNGs'!M:M,0))</f>
        <v>0</v>
      </c>
      <c r="H175" s="5" t="s">
        <v>11</v>
      </c>
      <c r="I175" s="6" t="s">
        <v>383</v>
      </c>
      <c r="J175" s="6" t="s">
        <v>86</v>
      </c>
    </row>
    <row r="176" spans="1:13" s="6" customFormat="1" hidden="1" x14ac:dyDescent="0.3">
      <c r="A176" s="5">
        <v>174</v>
      </c>
      <c r="B176" s="5" t="s">
        <v>335</v>
      </c>
      <c r="C176" s="6" t="b">
        <f>IF(ISERROR(VLOOKUP(B176,'Slides+PNGs'!$M:$M,1,FALSE)),FALSE,TRUE)</f>
        <v>1</v>
      </c>
      <c r="D176" s="5" t="b">
        <v>1</v>
      </c>
      <c r="E176" s="5" t="str">
        <f>INDEX('Slides+PNGs'!$H:H,MATCH($B176,'Slides+PNGs'!M:M,0))</f>
        <v>N/A</v>
      </c>
      <c r="F176" s="5" t="b">
        <f>INDEX('Slides+PNGs'!$I:I,MATCH($B176,'Slides+PNGs'!M:M,0))</f>
        <v>1</v>
      </c>
      <c r="G176" s="5" t="b">
        <f>INDEX('Slides+PNGs'!$L:L,MATCH($B176,'Slides+PNGs'!M:M,0))</f>
        <v>0</v>
      </c>
      <c r="H176" s="5" t="s">
        <v>11</v>
      </c>
      <c r="I176" s="6" t="s">
        <v>383</v>
      </c>
      <c r="J176" s="6" t="s">
        <v>86</v>
      </c>
    </row>
    <row r="177" spans="1:10" s="6" customFormat="1" hidden="1" x14ac:dyDescent="0.3">
      <c r="A177" s="5">
        <v>175</v>
      </c>
      <c r="B177" s="5" t="s">
        <v>336</v>
      </c>
      <c r="C177" s="6" t="b">
        <f>IF(ISERROR(VLOOKUP(B177,'Slides+PNGs'!$M:$M,1,FALSE)),FALSE,TRUE)</f>
        <v>1</v>
      </c>
      <c r="D177" s="5" t="b">
        <v>1</v>
      </c>
      <c r="E177" s="5" t="str">
        <f>INDEX('Slides+PNGs'!$H:H,MATCH($B177,'Slides+PNGs'!M:M,0))</f>
        <v>N/A</v>
      </c>
      <c r="F177" s="5" t="b">
        <f>INDEX('Slides+PNGs'!$I:I,MATCH($B177,'Slides+PNGs'!M:M,0))</f>
        <v>1</v>
      </c>
      <c r="G177" s="5" t="b">
        <f>INDEX('Slides+PNGs'!$L:L,MATCH($B177,'Slides+PNGs'!M:M,0))</f>
        <v>0</v>
      </c>
      <c r="H177" s="5" t="s">
        <v>11</v>
      </c>
      <c r="I177" s="6" t="s">
        <v>383</v>
      </c>
      <c r="J177" s="6" t="s">
        <v>86</v>
      </c>
    </row>
    <row r="178" spans="1:10" s="6" customFormat="1" hidden="1" x14ac:dyDescent="0.3">
      <c r="A178" s="5">
        <v>176</v>
      </c>
      <c r="B178" s="5" t="s">
        <v>337</v>
      </c>
      <c r="C178" s="6" t="b">
        <f>IF(ISERROR(VLOOKUP(B178,'Slides+PNGs'!$M:$M,1,FALSE)),FALSE,TRUE)</f>
        <v>1</v>
      </c>
      <c r="D178" s="5" t="b">
        <v>1</v>
      </c>
      <c r="E178" s="5" t="str">
        <f>INDEX('Slides+PNGs'!$H:H,MATCH($B178,'Slides+PNGs'!M:M,0))</f>
        <v>N/A</v>
      </c>
      <c r="F178" s="5" t="b">
        <f>INDEX('Slides+PNGs'!$I:I,MATCH($B178,'Slides+PNGs'!M:M,0))</f>
        <v>1</v>
      </c>
      <c r="G178" s="5" t="b">
        <f>INDEX('Slides+PNGs'!$L:L,MATCH($B178,'Slides+PNGs'!M:M,0))</f>
        <v>0</v>
      </c>
      <c r="H178" s="5" t="s">
        <v>11</v>
      </c>
      <c r="I178" s="6" t="s">
        <v>383</v>
      </c>
      <c r="J178" s="6" t="s">
        <v>86</v>
      </c>
    </row>
    <row r="179" spans="1:10" s="6" customFormat="1" hidden="1" x14ac:dyDescent="0.3">
      <c r="A179" s="5">
        <v>177</v>
      </c>
      <c r="B179" s="5" t="s">
        <v>338</v>
      </c>
      <c r="C179" s="6" t="b">
        <f>IF(ISERROR(VLOOKUP(B179,'Slides+PNGs'!$M:$M,1,FALSE)),FALSE,TRUE)</f>
        <v>1</v>
      </c>
      <c r="D179" s="5" t="b">
        <v>1</v>
      </c>
      <c r="E179" s="5" t="str">
        <f>INDEX('Slides+PNGs'!$H:H,MATCH($B179,'Slides+PNGs'!M:M,0))</f>
        <v>N/A</v>
      </c>
      <c r="F179" s="5" t="b">
        <f>INDEX('Slides+PNGs'!$I:I,MATCH($B179,'Slides+PNGs'!M:M,0))</f>
        <v>1</v>
      </c>
      <c r="G179" s="5" t="b">
        <f>INDEX('Slides+PNGs'!$L:L,MATCH($B179,'Slides+PNGs'!M:M,0))</f>
        <v>0</v>
      </c>
      <c r="H179" s="5" t="s">
        <v>11</v>
      </c>
      <c r="I179" s="6" t="s">
        <v>383</v>
      </c>
      <c r="J179" s="6" t="s">
        <v>86</v>
      </c>
    </row>
    <row r="180" spans="1:10" s="6" customFormat="1" hidden="1" x14ac:dyDescent="0.3">
      <c r="A180" s="5">
        <v>178</v>
      </c>
      <c r="B180" s="5" t="s">
        <v>339</v>
      </c>
      <c r="C180" s="6" t="b">
        <f>IF(ISERROR(VLOOKUP(B180,'Slides+PNGs'!$M:$M,1,FALSE)),FALSE,TRUE)</f>
        <v>1</v>
      </c>
      <c r="D180" s="5" t="b">
        <v>1</v>
      </c>
      <c r="E180" s="5" t="str">
        <f>INDEX('Slides+PNGs'!$H:H,MATCH($B180,'Slides+PNGs'!M:M,0))</f>
        <v>N/A</v>
      </c>
      <c r="F180" s="5" t="b">
        <f>INDEX('Slides+PNGs'!$I:I,MATCH($B180,'Slides+PNGs'!M:M,0))</f>
        <v>1</v>
      </c>
      <c r="G180" s="5" t="b">
        <f>INDEX('Slides+PNGs'!$L:L,MATCH($B180,'Slides+PNGs'!M:M,0))</f>
        <v>0</v>
      </c>
      <c r="H180" s="5" t="s">
        <v>11</v>
      </c>
      <c r="I180" s="6" t="s">
        <v>383</v>
      </c>
      <c r="J180" s="6" t="s">
        <v>85</v>
      </c>
    </row>
    <row r="181" spans="1:10" s="6" customFormat="1" hidden="1" x14ac:dyDescent="0.3">
      <c r="A181" s="5">
        <v>179</v>
      </c>
      <c r="B181" s="5" t="s">
        <v>340</v>
      </c>
      <c r="C181" s="6" t="b">
        <f>IF(ISERROR(VLOOKUP(B181,'Slides+PNGs'!$M:$M,1,FALSE)),FALSE,TRUE)</f>
        <v>1</v>
      </c>
      <c r="D181" s="5" t="b">
        <v>1</v>
      </c>
      <c r="E181" s="5" t="str">
        <f>INDEX('Slides+PNGs'!$H:H,MATCH($B181,'Slides+PNGs'!M:M,0))</f>
        <v>N/A</v>
      </c>
      <c r="F181" s="5" t="b">
        <f>INDEX('Slides+PNGs'!$I:I,MATCH($B181,'Slides+PNGs'!M:M,0))</f>
        <v>1</v>
      </c>
      <c r="G181" s="5" t="b">
        <f>INDEX('Slides+PNGs'!$L:L,MATCH($B181,'Slides+PNGs'!M:M,0))</f>
        <v>0</v>
      </c>
      <c r="H181" s="5" t="s">
        <v>11</v>
      </c>
      <c r="I181" s="6" t="s">
        <v>383</v>
      </c>
      <c r="J181" s="6" t="s">
        <v>85</v>
      </c>
    </row>
    <row r="182" spans="1:10" s="6" customFormat="1" hidden="1" x14ac:dyDescent="0.3">
      <c r="A182" s="5">
        <v>180</v>
      </c>
      <c r="B182" s="5" t="s">
        <v>341</v>
      </c>
      <c r="C182" s="6" t="b">
        <f>IF(ISERROR(VLOOKUP(B182,'Slides+PNGs'!$M:$M,1,FALSE)),FALSE,TRUE)</f>
        <v>1</v>
      </c>
      <c r="D182" s="5" t="b">
        <v>1</v>
      </c>
      <c r="E182" s="5" t="str">
        <f>INDEX('Slides+PNGs'!$H:H,MATCH($B182,'Slides+PNGs'!M:M,0))</f>
        <v>N/A</v>
      </c>
      <c r="F182" s="5" t="b">
        <f>INDEX('Slides+PNGs'!$I:I,MATCH($B182,'Slides+PNGs'!M:M,0))</f>
        <v>1</v>
      </c>
      <c r="G182" s="5" t="b">
        <f>INDEX('Slides+PNGs'!$L:L,MATCH($B182,'Slides+PNGs'!M:M,0))</f>
        <v>0</v>
      </c>
      <c r="H182" s="5" t="s">
        <v>11</v>
      </c>
      <c r="I182" s="6" t="s">
        <v>383</v>
      </c>
      <c r="J182" s="6" t="s">
        <v>85</v>
      </c>
    </row>
    <row r="183" spans="1:10" s="6" customFormat="1" hidden="1" x14ac:dyDescent="0.3">
      <c r="A183" s="5">
        <v>181</v>
      </c>
      <c r="B183" s="5" t="s">
        <v>342</v>
      </c>
      <c r="C183" s="6" t="b">
        <f>IF(ISERROR(VLOOKUP(B183,'Slides+PNGs'!$M:$M,1,FALSE)),FALSE,TRUE)</f>
        <v>1</v>
      </c>
      <c r="D183" s="5" t="b">
        <v>1</v>
      </c>
      <c r="E183" s="5" t="str">
        <f>INDEX('Slides+PNGs'!$H:H,MATCH($B183,'Slides+PNGs'!M:M,0))</f>
        <v>N/A</v>
      </c>
      <c r="F183" s="5" t="b">
        <f>INDEX('Slides+PNGs'!$I:I,MATCH($B183,'Slides+PNGs'!M:M,0))</f>
        <v>1</v>
      </c>
      <c r="G183" s="5" t="b">
        <f>INDEX('Slides+PNGs'!$L:L,MATCH($B183,'Slides+PNGs'!M:M,0))</f>
        <v>0</v>
      </c>
      <c r="H183" s="5" t="s">
        <v>11</v>
      </c>
      <c r="I183" s="6" t="s">
        <v>383</v>
      </c>
      <c r="J183" s="6" t="s">
        <v>85</v>
      </c>
    </row>
    <row r="184" spans="1:10" s="6" customFormat="1" hidden="1" x14ac:dyDescent="0.3">
      <c r="A184" s="5">
        <v>182</v>
      </c>
      <c r="B184" s="5" t="s">
        <v>343</v>
      </c>
      <c r="C184" s="6" t="b">
        <f>IF(ISERROR(VLOOKUP(B184,'Slides+PNGs'!$M:$M,1,FALSE)),FALSE,TRUE)</f>
        <v>1</v>
      </c>
      <c r="D184" s="5" t="b">
        <v>1</v>
      </c>
      <c r="E184" s="5" t="str">
        <f>INDEX('Slides+PNGs'!$H:H,MATCH($B184,'Slides+PNGs'!M:M,0))</f>
        <v>N/A</v>
      </c>
      <c r="F184" s="5" t="b">
        <f>INDEX('Slides+PNGs'!$I:I,MATCH($B184,'Slides+PNGs'!M:M,0))</f>
        <v>1</v>
      </c>
      <c r="G184" s="5" t="b">
        <f>INDEX('Slides+PNGs'!$L:L,MATCH($B184,'Slides+PNGs'!M:M,0))</f>
        <v>0</v>
      </c>
      <c r="H184" s="5" t="s">
        <v>11</v>
      </c>
      <c r="I184" s="6" t="s">
        <v>383</v>
      </c>
      <c r="J184" s="6" t="s">
        <v>85</v>
      </c>
    </row>
    <row r="185" spans="1:10" s="6" customFormat="1" hidden="1" x14ac:dyDescent="0.3">
      <c r="A185" s="5">
        <v>183</v>
      </c>
      <c r="B185" s="5" t="s">
        <v>344</v>
      </c>
      <c r="C185" s="6" t="b">
        <f>IF(ISERROR(VLOOKUP(B185,'Slides+PNGs'!$M:$M,1,FALSE)),FALSE,TRUE)</f>
        <v>1</v>
      </c>
      <c r="D185" s="5" t="b">
        <v>1</v>
      </c>
      <c r="E185" s="5" t="str">
        <f>INDEX('Slides+PNGs'!$H:H,MATCH($B185,'Slides+PNGs'!M:M,0))</f>
        <v>N/A</v>
      </c>
      <c r="F185" s="5" t="b">
        <f>INDEX('Slides+PNGs'!$I:I,MATCH($B185,'Slides+PNGs'!M:M,0))</f>
        <v>1</v>
      </c>
      <c r="G185" s="5" t="b">
        <f>INDEX('Slides+PNGs'!$L:L,MATCH($B185,'Slides+PNGs'!M:M,0))</f>
        <v>0</v>
      </c>
      <c r="H185" s="5" t="s">
        <v>11</v>
      </c>
      <c r="I185" s="6" t="s">
        <v>383</v>
      </c>
      <c r="J185" s="6" t="s">
        <v>85</v>
      </c>
    </row>
    <row r="186" spans="1:10" s="6" customFormat="1" hidden="1" x14ac:dyDescent="0.3">
      <c r="A186" s="5">
        <v>184</v>
      </c>
      <c r="B186" s="5" t="s">
        <v>345</v>
      </c>
      <c r="C186" s="6" t="b">
        <f>IF(ISERROR(VLOOKUP(B186,'Slides+PNGs'!$M:$M,1,FALSE)),FALSE,TRUE)</f>
        <v>1</v>
      </c>
      <c r="D186" s="5" t="b">
        <v>1</v>
      </c>
      <c r="E186" s="5" t="str">
        <f>INDEX('Slides+PNGs'!$H:H,MATCH($B186,'Slides+PNGs'!M:M,0))</f>
        <v>N/A</v>
      </c>
      <c r="F186" s="5" t="b">
        <f>INDEX('Slides+PNGs'!$I:I,MATCH($B186,'Slides+PNGs'!M:M,0))</f>
        <v>1</v>
      </c>
      <c r="G186" s="5" t="b">
        <f>INDEX('Slides+PNGs'!$L:L,MATCH($B186,'Slides+PNGs'!M:M,0))</f>
        <v>0</v>
      </c>
      <c r="H186" s="5" t="s">
        <v>11</v>
      </c>
      <c r="I186" s="6" t="s">
        <v>383</v>
      </c>
      <c r="J186" s="6" t="s">
        <v>90</v>
      </c>
    </row>
    <row r="187" spans="1:10" s="6" customFormat="1" hidden="1" x14ac:dyDescent="0.3">
      <c r="A187" s="5">
        <v>185</v>
      </c>
      <c r="B187" s="5" t="s">
        <v>346</v>
      </c>
      <c r="C187" s="6" t="b">
        <f>IF(ISERROR(VLOOKUP(B187,'Slides+PNGs'!$M:$M,1,FALSE)),FALSE,TRUE)</f>
        <v>1</v>
      </c>
      <c r="D187" s="5" t="b">
        <v>1</v>
      </c>
      <c r="E187" s="5" t="str">
        <f>INDEX('Slides+PNGs'!$H:H,MATCH($B187,'Slides+PNGs'!M:M,0))</f>
        <v>N/A</v>
      </c>
      <c r="F187" s="5" t="b">
        <f>INDEX('Slides+PNGs'!$I:I,MATCH($B187,'Slides+PNGs'!M:M,0))</f>
        <v>1</v>
      </c>
      <c r="G187" s="5" t="b">
        <f>INDEX('Slides+PNGs'!$L:L,MATCH($B187,'Slides+PNGs'!M:M,0))</f>
        <v>0</v>
      </c>
      <c r="H187" s="5" t="s">
        <v>11</v>
      </c>
      <c r="I187" s="6" t="s">
        <v>383</v>
      </c>
      <c r="J187" s="6" t="s">
        <v>86</v>
      </c>
    </row>
    <row r="188" spans="1:10" s="6" customFormat="1" hidden="1" x14ac:dyDescent="0.3">
      <c r="A188" s="5">
        <v>186</v>
      </c>
      <c r="B188" s="5" t="s">
        <v>347</v>
      </c>
      <c r="C188" s="6" t="b">
        <f>IF(ISERROR(VLOOKUP(B188,'Slides+PNGs'!$M:$M,1,FALSE)),FALSE,TRUE)</f>
        <v>1</v>
      </c>
      <c r="D188" s="5" t="b">
        <v>1</v>
      </c>
      <c r="E188" s="5" t="str">
        <f>INDEX('Slides+PNGs'!$H:H,MATCH($B188,'Slides+PNGs'!M:M,0))</f>
        <v>N/A</v>
      </c>
      <c r="F188" s="5" t="b">
        <f>INDEX('Slides+PNGs'!$I:I,MATCH($B188,'Slides+PNGs'!M:M,0))</f>
        <v>1</v>
      </c>
      <c r="G188" s="5" t="b">
        <f>INDEX('Slides+PNGs'!$L:L,MATCH($B188,'Slides+PNGs'!M:M,0))</f>
        <v>0</v>
      </c>
      <c r="H188" s="5" t="s">
        <v>11</v>
      </c>
      <c r="I188" s="6" t="s">
        <v>383</v>
      </c>
      <c r="J188" s="6" t="s">
        <v>86</v>
      </c>
    </row>
    <row r="189" spans="1:10" s="6" customFormat="1" hidden="1" x14ac:dyDescent="0.3">
      <c r="A189" s="5">
        <v>187</v>
      </c>
      <c r="B189" s="5" t="s">
        <v>348</v>
      </c>
      <c r="C189" s="6" t="b">
        <f>IF(ISERROR(VLOOKUP(B189,'Slides+PNGs'!$M:$M,1,FALSE)),FALSE,TRUE)</f>
        <v>1</v>
      </c>
      <c r="D189" s="5" t="b">
        <v>1</v>
      </c>
      <c r="E189" s="5" t="str">
        <f>INDEX('Slides+PNGs'!$H:H,MATCH($B189,'Slides+PNGs'!M:M,0))</f>
        <v>N/A</v>
      </c>
      <c r="F189" s="5" t="b">
        <f>INDEX('Slides+PNGs'!$I:I,MATCH($B189,'Slides+PNGs'!M:M,0))</f>
        <v>1</v>
      </c>
      <c r="G189" s="5" t="b">
        <f>INDEX('Slides+PNGs'!$L:L,MATCH($B189,'Slides+PNGs'!M:M,0))</f>
        <v>0</v>
      </c>
      <c r="H189" s="5" t="s">
        <v>11</v>
      </c>
      <c r="I189" s="6" t="s">
        <v>383</v>
      </c>
      <c r="J189" s="6" t="s">
        <v>86</v>
      </c>
    </row>
    <row r="190" spans="1:10" s="6" customFormat="1" hidden="1" x14ac:dyDescent="0.3">
      <c r="A190" s="5">
        <v>188</v>
      </c>
      <c r="B190" s="5" t="s">
        <v>349</v>
      </c>
      <c r="C190" s="6" t="b">
        <f>IF(ISERROR(VLOOKUP(B190,'Slides+PNGs'!$M:$M,1,FALSE)),FALSE,TRUE)</f>
        <v>1</v>
      </c>
      <c r="D190" s="5" t="b">
        <v>1</v>
      </c>
      <c r="E190" s="5" t="str">
        <f>INDEX('Slides+PNGs'!$H:H,MATCH($B190,'Slides+PNGs'!M:M,0))</f>
        <v>N/A</v>
      </c>
      <c r="F190" s="5" t="b">
        <f>INDEX('Slides+PNGs'!$I:I,MATCH($B190,'Slides+PNGs'!M:M,0))</f>
        <v>1</v>
      </c>
      <c r="G190" s="5" t="b">
        <f>INDEX('Slides+PNGs'!$L:L,MATCH($B190,'Slides+PNGs'!M:M,0))</f>
        <v>0</v>
      </c>
      <c r="H190" s="5" t="s">
        <v>11</v>
      </c>
      <c r="I190" s="6" t="s">
        <v>383</v>
      </c>
      <c r="J190" s="6" t="s">
        <v>86</v>
      </c>
    </row>
    <row r="191" spans="1:10" s="6" customFormat="1" hidden="1" x14ac:dyDescent="0.3">
      <c r="A191" s="5">
        <v>189</v>
      </c>
      <c r="B191" s="5" t="s">
        <v>350</v>
      </c>
      <c r="C191" s="6" t="b">
        <f>IF(ISERROR(VLOOKUP(B191,'Slides+PNGs'!$M:$M,1,FALSE)),FALSE,TRUE)</f>
        <v>1</v>
      </c>
      <c r="D191" s="5" t="b">
        <v>1</v>
      </c>
      <c r="E191" s="5" t="str">
        <f>INDEX('Slides+PNGs'!$H:H,MATCH($B191,'Slides+PNGs'!M:M,0))</f>
        <v>N/A</v>
      </c>
      <c r="F191" s="5" t="b">
        <f>INDEX('Slides+PNGs'!$I:I,MATCH($B191,'Slides+PNGs'!M:M,0))</f>
        <v>1</v>
      </c>
      <c r="G191" s="5" t="b">
        <f>INDEX('Slides+PNGs'!$L:L,MATCH($B191,'Slides+PNGs'!M:M,0))</f>
        <v>0</v>
      </c>
      <c r="H191" s="5" t="s">
        <v>11</v>
      </c>
      <c r="I191" s="6" t="s">
        <v>383</v>
      </c>
      <c r="J191" s="6" t="s">
        <v>86</v>
      </c>
    </row>
    <row r="192" spans="1:10" s="6" customFormat="1" hidden="1" x14ac:dyDescent="0.3">
      <c r="A192" s="5">
        <v>190</v>
      </c>
      <c r="B192" s="5" t="s">
        <v>166</v>
      </c>
      <c r="C192" s="6" t="b">
        <f>IF(ISERROR(VLOOKUP(B192,'Slides+PNGs'!$M:$M,1,FALSE)),FALSE,TRUE)</f>
        <v>1</v>
      </c>
      <c r="D192" s="5" t="b">
        <v>1</v>
      </c>
      <c r="E192" s="5" t="str">
        <f>INDEX('Slides+PNGs'!$H:H,MATCH($B192,'Slides+PNGs'!M:M,0))</f>
        <v>N/A</v>
      </c>
      <c r="F192" s="5" t="b">
        <f>INDEX('Slides+PNGs'!$I:I,MATCH($B192,'Slides+PNGs'!M:M,0))</f>
        <v>1</v>
      </c>
      <c r="G192" s="5" t="b">
        <f>INDEX('Slides+PNGs'!$L:L,MATCH($B192,'Slides+PNGs'!M:M,0))</f>
        <v>0</v>
      </c>
      <c r="H192" s="5" t="s">
        <v>11</v>
      </c>
      <c r="I192" s="6" t="s">
        <v>383</v>
      </c>
      <c r="J192" s="6" t="s">
        <v>89</v>
      </c>
    </row>
    <row r="193" spans="1:13" hidden="1" x14ac:dyDescent="0.3">
      <c r="A193" s="10">
        <v>999</v>
      </c>
      <c r="B193" s="12" t="s">
        <v>667</v>
      </c>
      <c r="C193" s="10" t="b">
        <v>1</v>
      </c>
      <c r="D193" s="5" t="s">
        <v>37</v>
      </c>
      <c r="E193" s="5" t="str">
        <f>INDEX('Slides+PNGs'!$H:H,MATCH($B193,'Slides+PNGs'!M:M,0))</f>
        <v>N/A</v>
      </c>
      <c r="F193" s="5" t="str">
        <f>INDEX('Slides+PNGs'!$I:I,MATCH($B193,'Slides+PNGs'!M:M,0))</f>
        <v>N/A</v>
      </c>
      <c r="G193" s="5" t="b">
        <f>INDEX('Slides+PNGs'!$L:L,MATCH($B193,'Slides+PNGs'!M:M,0))</f>
        <v>0</v>
      </c>
      <c r="H193" s="10" t="s">
        <v>37</v>
      </c>
      <c r="I193" s="10" t="s">
        <v>37</v>
      </c>
    </row>
    <row r="194" spans="1:13" ht="115.2" hidden="1" x14ac:dyDescent="0.3">
      <c r="A194" s="10">
        <v>1001</v>
      </c>
      <c r="B194" s="8" t="s">
        <v>480</v>
      </c>
      <c r="C194" s="4" t="b">
        <v>1</v>
      </c>
      <c r="D194" s="9" t="b">
        <v>0</v>
      </c>
      <c r="E194" s="5" t="str">
        <f>INDEX('Slides+PNGs'!$H:H,MATCH($B194,'Slides+PNGs'!M:M,0))</f>
        <v>N/A</v>
      </c>
      <c r="F194" s="5" t="str">
        <f>INDEX('Slides+PNGs'!$I:I,MATCH($B194,'Slides+PNGs'!M:M,0))</f>
        <v>N/A</v>
      </c>
      <c r="G194" s="5" t="b">
        <f>INDEX('Slides+PNGs'!$L:L,MATCH($B194,'Slides+PNGs'!M:M,0))</f>
        <v>0</v>
      </c>
      <c r="H194" s="4"/>
      <c r="I194" s="4" t="s">
        <v>485</v>
      </c>
      <c r="M194" s="9" t="s">
        <v>681</v>
      </c>
    </row>
    <row r="195" spans="1:13" hidden="1" x14ac:dyDescent="0.3">
      <c r="A195" s="10">
        <v>1003</v>
      </c>
      <c r="B195" s="8" t="s">
        <v>604</v>
      </c>
      <c r="C195" s="4" t="b">
        <v>1</v>
      </c>
      <c r="D195" s="9" t="b">
        <v>0</v>
      </c>
      <c r="E195" s="5" t="str">
        <f>INDEX('Slides+PNGs'!$H:H,MATCH($B195,'Slides+PNGs'!M:M,0))</f>
        <v>N/A</v>
      </c>
      <c r="F195" s="5" t="str">
        <f>INDEX('Slides+PNGs'!$I:I,MATCH($B195,'Slides+PNGs'!M:M,0))</f>
        <v>N/A</v>
      </c>
      <c r="G195" s="5" t="b">
        <f>INDEX('Slides+PNGs'!$L:L,MATCH($B195,'Slides+PNGs'!M:M,0))</f>
        <v>0</v>
      </c>
      <c r="H195" s="4"/>
      <c r="I195" s="4" t="s">
        <v>614</v>
      </c>
      <c r="M195" s="4" t="s">
        <v>680</v>
      </c>
    </row>
    <row r="196" spans="1:13" hidden="1" x14ac:dyDescent="0.3">
      <c r="A196" s="10">
        <v>1004</v>
      </c>
      <c r="B196" s="8" t="s">
        <v>630</v>
      </c>
      <c r="C196" s="4" t="b">
        <v>1</v>
      </c>
      <c r="D196" s="9" t="b">
        <v>0</v>
      </c>
      <c r="E196" s="5" t="str">
        <f>INDEX('Slides+PNGs'!$H:H,MATCH($B196,'Slides+PNGs'!M:M,0))</f>
        <v>N/A</v>
      </c>
      <c r="F196" s="5" t="str">
        <f>INDEX('Slides+PNGs'!$I:I,MATCH($B196,'Slides+PNGs'!M:M,0))</f>
        <v>N/A</v>
      </c>
      <c r="G196" s="5" t="b">
        <f>INDEX('Slides+PNGs'!$L:L,MATCH($B196,'Slides+PNGs'!M:M,0))</f>
        <v>0</v>
      </c>
      <c r="H196" s="4"/>
      <c r="I196" s="4" t="s">
        <v>614</v>
      </c>
      <c r="M196" s="4" t="s">
        <v>680</v>
      </c>
    </row>
  </sheetData>
  <autoFilter ref="A1:M196" xr:uid="{4F6D7929-BE98-4219-BF9A-ADC46AB09EA1}">
    <filterColumn colId="1">
      <filters>
        <filter val="Maternal_CauseDeath_pie_Say_LGH_2014.png"/>
        <filter val="Neonatal_CauseDeath_pie_MCEE19.png"/>
        <filter val="Neonatal_CauseDeath_pie_MCEE19_nolab.png"/>
      </filters>
    </filterColumn>
  </autoFilter>
  <conditionalFormatting sqref="A1:A1048576">
    <cfRule type="duplicateValues" dxfId="1" priority="1"/>
  </conditionalFormatting>
  <conditionalFormatting sqref="B1:B1048576">
    <cfRule type="duplicateValues" dxfId="0" priority="2"/>
  </conditionalFormatting>
  <hyperlinks>
    <hyperlink ref="J116" r:id="rId1" xr:uid="{0287FA10-997A-434B-A057-CA77686E3F8F}"/>
    <hyperlink ref="J117" r:id="rId2" xr:uid="{75B3214C-2B08-4A04-87ED-B2C96EE6DD25}"/>
    <hyperlink ref="J118" r:id="rId3" xr:uid="{E4ADDA42-00AD-469D-A945-1B309A63DD56}"/>
    <hyperlink ref="J119" r:id="rId4" xr:uid="{0B716FC6-91FD-4353-B818-0B2FB4F76798}"/>
    <hyperlink ref="J120" r:id="rId5" xr:uid="{F25FED3C-AFCE-4E82-B9CE-848962961333}"/>
    <hyperlink ref="J121" r:id="rId6" xr:uid="{E0E7801D-28FC-49D1-9164-8EE15E53ED67}"/>
    <hyperlink ref="J122" r:id="rId7" xr:uid="{83F5A761-94C1-45DF-957B-21E778C57DB7}"/>
    <hyperlink ref="J123" r:id="rId8" xr:uid="{7E0B7291-54E8-4E2B-8BA5-2F887C2F7BAF}"/>
    <hyperlink ref="J124" r:id="rId9" xr:uid="{4B72D0F7-C37E-4995-8438-6F85731BAEEE}"/>
    <hyperlink ref="J125" r:id="rId10" xr:uid="{14479E61-74CE-41BF-870C-35B297FAA780}"/>
    <hyperlink ref="J126" r:id="rId11" xr:uid="{60F8D16B-D025-4221-BF10-D4ECE51CAEE4}"/>
    <hyperlink ref="J127" r:id="rId12" xr:uid="{69C194EE-FEB7-4A82-B72F-779422C9760F}"/>
    <hyperlink ref="J168" r:id="rId13" xr:uid="{61689F07-7914-466D-995B-CEBD3483A3F9}"/>
    <hyperlink ref="J169" r:id="rId14" xr:uid="{1FABFCD0-1EC7-4792-A1CB-E88B2E10FDE0}"/>
    <hyperlink ref="J170" r:id="rId15" xr:uid="{9AD44E18-24BE-434E-B69B-40FAA60D7494}"/>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8B9314DF-661D-42F3-A61C-6D679A70F56C}">
          <x14:formula1>
            <xm:f>'Data sources'!$C$2:$C$1002</xm:f>
          </x14:formula1>
          <xm:sqref>J2:L1048576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Slides+PNGs</vt:lpstr>
      <vt:lpstr>Data sources</vt:lpstr>
      <vt:lpstr>PNGs</vt:lpstr>
    </vt:vector>
  </TitlesOfParts>
  <Company>World Health Organization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LOPEZ, Gerard William</dc:creator>
  <cp:lastModifiedBy>LOPEZ, Gerard</cp:lastModifiedBy>
  <dcterms:created xsi:type="dcterms:W3CDTF">2025-01-09T13:19:00Z</dcterms:created>
  <dcterms:modified xsi:type="dcterms:W3CDTF">2025-10-20T17:08:02Z</dcterms:modified>
</cp:coreProperties>
</file>